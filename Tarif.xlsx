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ehaldemann/Jupiter/GIFAS/Development/"/>
    </mc:Choice>
  </mc:AlternateContent>
  <xr:revisionPtr revIDLastSave="0" documentId="13_ncr:1_{E49B5225-E4D7-1243-BFD3-BFF1C8A45A23}" xr6:coauthVersionLast="47" xr6:coauthVersionMax="47" xr10:uidLastSave="{00000000-0000-0000-0000-000000000000}"/>
  <bookViews>
    <workbookView xWindow="420" yWindow="1480" windowWidth="28980" windowHeight="17640" activeTab="4" xr2:uid="{00000000-000D-0000-FFFF-FFFF00000000}"/>
  </bookViews>
  <sheets>
    <sheet name="Thal-Pro" sheetId="3" r:id="rId1"/>
    <sheet name="Thal-Pro 2" sheetId="4" r:id="rId2"/>
    <sheet name="Rheineck Gewerbetarif" sheetId="8" r:id="rId3"/>
    <sheet name="Rheineck Haushalt &amp; Kleingewerb" sheetId="7" r:id="rId4"/>
    <sheet name="Rheineck" sheetId="5" r:id="rId5"/>
    <sheet name="Feuil2" sheetId="6" r:id="rId6"/>
  </sheets>
  <definedNames>
    <definedName name="_xlnm._FilterDatabase" localSheetId="4" hidden="1">Rheineck!$H$8:$I$15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C28" i="7"/>
  <c r="C27" i="7"/>
  <c r="C26" i="7"/>
  <c r="C32" i="8"/>
  <c r="C31" i="8"/>
  <c r="C30" i="8"/>
  <c r="C25" i="7"/>
  <c r="C29" i="8"/>
  <c r="H15" i="4"/>
  <c r="H26" i="3"/>
</calcChain>
</file>

<file path=xl/sharedStrings.xml><?xml version="1.0" encoding="utf-8"?>
<sst xmlns="http://schemas.openxmlformats.org/spreadsheetml/2006/main" count="556" uniqueCount="134">
  <si>
    <r>
      <rPr>
        <sz val="8"/>
        <color rgb="FF0E2841"/>
        <rFont val="Arial MT"/>
        <family val="2"/>
      </rPr>
      <t>exkl. MWST</t>
    </r>
  </si>
  <si>
    <r>
      <rPr>
        <sz val="8"/>
        <color rgb="FF0E2841"/>
        <rFont val="Arial MT"/>
        <family val="2"/>
      </rPr>
      <t>inkl. MWST</t>
    </r>
  </si>
  <si>
    <r>
      <rPr>
        <b/>
        <i/>
        <sz val="12"/>
        <color rgb="FF0E2841"/>
        <rFont val="Arial"/>
        <family val="2"/>
      </rPr>
      <t>Energielieferung</t>
    </r>
  </si>
  <si>
    <r>
      <rPr>
        <sz val="10"/>
        <color rgb="FF0E2841"/>
        <rFont val="Arial MT"/>
        <family val="2"/>
      </rPr>
      <t>Tarifzeit 1 Sommer</t>
    </r>
  </si>
  <si>
    <r>
      <rPr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</si>
  <si>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>Tarifzeit 2 Sommer</t>
    </r>
  </si>
  <si>
    <r>
      <rPr>
        <sz val="10"/>
        <color rgb="FF0E2841"/>
        <rFont val="Arial MT"/>
        <family val="2"/>
      </rPr>
      <t>Tarifzeit 1 Winter</t>
    </r>
  </si>
  <si>
    <r>
      <rPr>
        <sz val="10"/>
        <color rgb="FF0E2841"/>
        <rFont val="Arial MT"/>
        <family val="2"/>
      </rPr>
      <t>Tarifzeit 2 Winter</t>
    </r>
  </si>
  <si>
    <r>
      <rPr>
        <b/>
        <i/>
        <sz val="12"/>
        <color rgb="FF0E2841"/>
        <rFont val="Arial"/>
        <family val="2"/>
      </rPr>
      <t>Netznutzung</t>
    </r>
  </si>
  <si>
    <r>
      <rPr>
        <sz val="10"/>
        <color rgb="FF0E2841"/>
        <rFont val="Arial MT"/>
        <family val="2"/>
      </rPr>
      <t>Leistungspreis</t>
    </r>
  </si>
  <si>
    <r>
      <rPr>
        <sz val="8"/>
        <color rgb="FF0E2841"/>
        <rFont val="Arial MT"/>
        <family val="2"/>
      </rPr>
      <t>CHF/kW/Mt.</t>
    </r>
  </si>
  <si>
    <r>
      <rPr>
        <sz val="10"/>
        <color rgb="FF0E2841"/>
        <rFont val="Arial MT"/>
        <family val="2"/>
      </rPr>
      <t>Tarifzeit 1</t>
    </r>
  </si>
  <si>
    <r>
      <rPr>
        <sz val="10"/>
        <color rgb="FF0E2841"/>
        <rFont val="Arial MT"/>
        <family val="2"/>
      </rPr>
      <t>Tarifzeit 2</t>
    </r>
  </si>
  <si>
    <r>
      <rPr>
        <sz val="10"/>
        <color rgb="FF0E2841"/>
        <rFont val="Arial MT"/>
        <family val="2"/>
      </rPr>
      <t>Blindenergie Überbezug</t>
    </r>
  </si>
  <si>
    <r>
      <rPr>
        <sz val="8"/>
        <color rgb="FF0E2841"/>
        <rFont val="Arial MT"/>
        <family val="2"/>
      </rPr>
      <t>Rp./kvar</t>
    </r>
  </si>
  <si>
    <r>
      <rPr>
        <sz val="10"/>
        <color rgb="FF0E2841"/>
        <rFont val="Arial MT"/>
        <family val="2"/>
      </rPr>
      <t xml:space="preserve">Systemdienstleistung (SDL)                                                         </t>
    </r>
    <r>
      <rPr>
        <vertAlign val="subscript"/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</si>
  <si>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 xml:space="preserve">Stromreserve                                                                                </t>
    </r>
    <r>
      <rPr>
        <vertAlign val="subscript"/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</si>
  <si>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 xml:space="preserve">Solidarisierte Kosten
</t>
    </r>
    <r>
      <rPr>
        <sz val="7"/>
        <color rgb="FF0E2841"/>
        <rFont val="Arial MT"/>
        <family val="2"/>
      </rPr>
      <t>Bundesabgabe (Netzverstärkungen und Überbrückungshilfen Stahl- u. Aluindustrie)</t>
    </r>
  </si>
  <si>
    <r>
      <rPr>
        <b/>
        <i/>
        <sz val="12"/>
        <color rgb="FF002060"/>
        <rFont val="Arial"/>
        <family val="2"/>
      </rPr>
      <t>Messtarif</t>
    </r>
  </si>
  <si>
    <r>
      <rPr>
        <sz val="10"/>
        <color rgb="FF0E2841"/>
        <rFont val="Arial MT"/>
        <family val="2"/>
      </rPr>
      <t>pro Zähler</t>
    </r>
  </si>
  <si>
    <r>
      <rPr>
        <sz val="8"/>
        <color rgb="FF0E2841"/>
        <rFont val="Arial MT"/>
        <family val="2"/>
      </rPr>
      <t>CHF/Monat</t>
    </r>
  </si>
  <si>
    <r>
      <rPr>
        <b/>
        <i/>
        <sz val="12"/>
        <color rgb="FF0E2841"/>
        <rFont val="Arial"/>
        <family val="2"/>
      </rPr>
      <t>Abgaben</t>
    </r>
  </si>
  <si>
    <r>
      <rPr>
        <sz val="10"/>
        <color rgb="FF0E2841"/>
        <rFont val="Arial MT"/>
        <family val="2"/>
      </rPr>
      <t>Netzzuschlag</t>
    </r>
  </si>
  <si>
    <r>
      <rPr>
        <sz val="10"/>
        <color rgb="FF0E2841"/>
        <rFont val="Arial MT"/>
        <family val="2"/>
      </rPr>
      <t>Gemeindeabgaben</t>
    </r>
  </si>
  <si>
    <r>
      <rPr>
        <b/>
        <i/>
        <sz val="12"/>
        <color rgb="FF0E2841"/>
        <rFont val="Arial"/>
        <family val="2"/>
      </rPr>
      <t>Total</t>
    </r>
  </si>
  <si>
    <r>
      <rPr>
        <sz val="10"/>
        <color rgb="FF0E2841"/>
        <rFont val="Arial MT"/>
        <family val="2"/>
      </rPr>
      <t>Fixpreis pro Zähler</t>
    </r>
  </si>
  <si>
    <t xml:space="preserve">Technische Betriebe Thal </t>
  </si>
  <si>
    <t>Tarifzeiten</t>
  </si>
  <si>
    <t>Tarifzeiten 1</t>
  </si>
  <si>
    <t>Montag - Freitag 07:00 -19:00 Uhr</t>
  </si>
  <si>
    <t>Tarifzeiten 2</t>
  </si>
  <si>
    <t>Ubrige Zeit</t>
  </si>
  <si>
    <t>Winter</t>
  </si>
  <si>
    <t>1.10 - 31.3</t>
  </si>
  <si>
    <t xml:space="preserve">Sommer </t>
  </si>
  <si>
    <t>Übrige Zeit</t>
  </si>
  <si>
    <t xml:space="preserve">LUNDI </t>
  </si>
  <si>
    <t>MARDI</t>
  </si>
  <si>
    <t>MERCREDI</t>
  </si>
  <si>
    <t>JEUDI</t>
  </si>
  <si>
    <t>VENDREDI</t>
  </si>
  <si>
    <t>SAMEDI</t>
  </si>
  <si>
    <t>DIMANCHE</t>
  </si>
  <si>
    <t>Timeframe</t>
  </si>
  <si>
    <t>Tarif</t>
  </si>
  <si>
    <t>"TZ2"</t>
  </si>
  <si>
    <t>"TZ1"</t>
  </si>
  <si>
    <t>Été</t>
  </si>
  <si>
    <t>Hiver I</t>
  </si>
  <si>
    <t>Hiver II</t>
  </si>
  <si>
    <t>Tarifzeit 1 Sommer</t>
  </si>
  <si>
    <t>NS PRO (400 V, 230 V) 2026</t>
  </si>
  <si>
    <t>davon andere</t>
  </si>
  <si>
    <t>ohne MWST</t>
  </si>
  <si>
    <t>CHF/kWh</t>
  </si>
  <si>
    <t>Vergütung</t>
  </si>
  <si>
    <t>Tarif Pro</t>
  </si>
  <si>
    <r>
      <rPr>
        <sz val="10"/>
        <color rgb="FF0E2841"/>
        <rFont val="Arial"/>
        <family val="2"/>
      </rPr>
      <t>Tarifzeit 2 Sommer</t>
    </r>
  </si>
  <si>
    <r>
      <rPr>
        <sz val="10"/>
        <color rgb="FF0E2841"/>
        <rFont val="Arial"/>
        <family val="2"/>
      </rPr>
      <t>Tarifzeit 1 Winter</t>
    </r>
  </si>
  <si>
    <r>
      <rPr>
        <sz val="10"/>
        <color rgb="FF0E2841"/>
        <rFont val="Arial"/>
        <family val="2"/>
      </rPr>
      <t>Tarifzeit 2 Winter</t>
    </r>
  </si>
  <si>
    <r>
      <rPr>
        <sz val="10"/>
        <color rgb="FF0E2841"/>
        <rFont val="Arial"/>
        <family val="2"/>
      </rPr>
      <t>Leistungspreis</t>
    </r>
  </si>
  <si>
    <r>
      <rPr>
        <sz val="10"/>
        <color rgb="FF0E2841"/>
        <rFont val="Arial"/>
        <family val="2"/>
      </rPr>
      <t>CHF/kW/Mt.</t>
    </r>
  </si>
  <si>
    <r>
      <rPr>
        <sz val="10"/>
        <color rgb="FF0E2841"/>
        <rFont val="Arial"/>
        <family val="2"/>
      </rPr>
      <t>Fixpreis pro Zähler</t>
    </r>
  </si>
  <si>
    <r>
      <rPr>
        <sz val="10"/>
        <color rgb="FF0E2841"/>
        <rFont val="Arial"/>
        <family val="2"/>
      </rPr>
      <t>CHF/Monat</t>
    </r>
  </si>
  <si>
    <t>app</t>
  </si>
  <si>
    <t>mit MWST</t>
  </si>
  <si>
    <t>Tarif Kompakt (&lt; 50'000 kWh)</t>
  </si>
  <si>
    <t>aussi appelé redevance</t>
  </si>
  <si>
    <t>davon Netznutzung</t>
  </si>
  <si>
    <t>Elektrizitätspreise</t>
  </si>
  <si>
    <r>
      <rPr>
        <sz val="9"/>
        <rFont val="Century Gothic"/>
        <family val="2"/>
      </rPr>
      <t>Rp./kWh</t>
    </r>
  </si>
  <si>
    <r>
      <rPr>
        <sz val="9"/>
        <rFont val="Century Gothic"/>
        <family val="2"/>
      </rPr>
      <t>Gesetzliche Bundesabgaben</t>
    </r>
  </si>
  <si>
    <r>
      <rPr>
        <sz val="9"/>
        <rFont val="Century Gothic"/>
        <family val="2"/>
      </rPr>
      <t>Solidarisierte Kosten swissgrid</t>
    </r>
  </si>
  <si>
    <r>
      <rPr>
        <sz val="9"/>
        <rFont val="Century Gothic"/>
        <family val="2"/>
      </rPr>
      <t>Stromreserve swissgrid</t>
    </r>
  </si>
  <si>
    <r>
      <rPr>
        <sz val="9"/>
        <rFont val="Century Gothic"/>
        <family val="2"/>
      </rPr>
      <t>Systemdienstleistungen swissgrid</t>
    </r>
  </si>
  <si>
    <r>
      <rPr>
        <sz val="9"/>
        <rFont val="Century Gothic"/>
        <family val="2"/>
      </rPr>
      <t>Abgaben an das Gemeinwesen</t>
    </r>
  </si>
  <si>
    <r>
      <rPr>
        <sz val="9"/>
        <rFont val="Century Gothic"/>
        <family val="2"/>
      </rPr>
      <t>exkl. MwSt.</t>
    </r>
  </si>
  <si>
    <r>
      <rPr>
        <b/>
        <sz val="9"/>
        <rFont val="Century Gothic"/>
        <family val="2"/>
      </rPr>
      <t>davon Abgaben</t>
    </r>
  </si>
  <si>
    <r>
      <rPr>
        <sz val="9"/>
        <rFont val="Century Gothic"/>
        <family val="2"/>
      </rPr>
      <t>CHF/Monat</t>
    </r>
  </si>
  <si>
    <r>
      <rPr>
        <sz val="9"/>
        <rFont val="Century Gothic"/>
        <family val="2"/>
      </rPr>
      <t>Messtarif Intelligent</t>
    </r>
  </si>
  <si>
    <r>
      <rPr>
        <b/>
        <sz val="9"/>
        <rFont val="Century Gothic"/>
        <family val="2"/>
      </rPr>
      <t>davon Messwesen</t>
    </r>
  </si>
  <si>
    <r>
      <rPr>
        <sz val="9"/>
        <rFont val="Century Gothic"/>
        <family val="2"/>
      </rPr>
      <t>CHF/kW/Mt.</t>
    </r>
  </si>
  <si>
    <r>
      <rPr>
        <sz val="9"/>
        <rFont val="Century Gothic"/>
        <family val="2"/>
      </rPr>
      <t>Leistung</t>
    </r>
  </si>
  <si>
    <r>
      <rPr>
        <sz val="9"/>
        <rFont val="Century Gothic"/>
        <family val="2"/>
      </rPr>
      <t>Arbeitspreis ET</t>
    </r>
  </si>
  <si>
    <r>
      <rPr>
        <sz val="9"/>
        <rFont val="Century Gothic"/>
        <family val="2"/>
      </rPr>
      <t>Systemgebühren</t>
    </r>
  </si>
  <si>
    <r>
      <rPr>
        <b/>
        <sz val="9"/>
        <rFont val="Century Gothic"/>
        <family val="2"/>
      </rPr>
      <t xml:space="preserve">davon Energielieferung
</t>
    </r>
    <r>
      <rPr>
        <sz val="9"/>
        <rFont val="Century Gothic"/>
        <family val="2"/>
      </rPr>
      <t>(Einheitstarif)</t>
    </r>
  </si>
  <si>
    <r>
      <rPr>
        <b/>
        <sz val="9"/>
        <rFont val="Century Gothic"/>
        <family val="2"/>
      </rPr>
      <t xml:space="preserve">davon Netznutzung
</t>
    </r>
    <r>
      <rPr>
        <sz val="9"/>
        <rFont val="Century Gothic"/>
        <family val="2"/>
      </rPr>
      <t>(Sommer und Winter)</t>
    </r>
  </si>
  <si>
    <r>
      <rPr>
        <sz val="11"/>
        <rFont val="Century Gothic"/>
        <family val="2"/>
      </rPr>
      <t>CHF/kW</t>
    </r>
  </si>
  <si>
    <r>
      <rPr>
        <sz val="11"/>
        <rFont val="Century Gothic"/>
        <family val="2"/>
      </rPr>
      <t>Leistung</t>
    </r>
  </si>
  <si>
    <r>
      <rPr>
        <sz val="11"/>
        <rFont val="Century Gothic"/>
        <family val="2"/>
      </rPr>
      <t>CHF/Monat</t>
    </r>
  </si>
  <si>
    <r>
      <rPr>
        <sz val="11"/>
        <rFont val="Century Gothic"/>
        <family val="2"/>
      </rPr>
      <t>Messtarif Intelligent</t>
    </r>
  </si>
  <si>
    <r>
      <rPr>
        <sz val="11"/>
        <rFont val="Century Gothic"/>
        <family val="2"/>
      </rPr>
      <t>Rp. / kWh</t>
    </r>
  </si>
  <si>
    <r>
      <rPr>
        <sz val="11"/>
        <rFont val="Century Gothic"/>
        <family val="2"/>
      </rPr>
      <t>Wirkenergie Einfachtarif (ET)</t>
    </r>
  </si>
  <si>
    <r>
      <rPr>
        <sz val="11"/>
        <rFont val="Century Gothic"/>
        <family val="2"/>
      </rPr>
      <t>Systemgebühren</t>
    </r>
  </si>
  <si>
    <r>
      <rPr>
        <sz val="11"/>
        <color rgb="FFFFFFFF"/>
        <rFont val="Century Gothic"/>
        <family val="2"/>
      </rPr>
      <t>inkl. MwSt.</t>
    </r>
  </si>
  <si>
    <r>
      <rPr>
        <sz val="11"/>
        <color rgb="FFFFFFFF"/>
        <rFont val="Century Gothic"/>
        <family val="2"/>
      </rPr>
      <t>exkl. MwSt.</t>
    </r>
  </si>
  <si>
    <r>
      <rPr>
        <sz val="16"/>
        <color rgb="FFFFFFFF"/>
        <rFont val="Century Gothic"/>
        <family val="2"/>
      </rPr>
      <t xml:space="preserve">Elektrizitätspreise
</t>
    </r>
    <r>
      <rPr>
        <b/>
        <sz val="11"/>
        <rFont val="Century Gothic"/>
        <family val="2"/>
      </rPr>
      <t xml:space="preserve">Netznutzung </t>
    </r>
    <r>
      <rPr>
        <b/>
        <sz val="11"/>
        <color rgb="FFFFFFFF"/>
        <rFont val="Century Gothic"/>
        <family val="2"/>
      </rPr>
      <t xml:space="preserve">+ </t>
    </r>
    <r>
      <rPr>
        <b/>
        <sz val="11"/>
        <rFont val="Century Gothic"/>
        <family val="2"/>
      </rPr>
      <t xml:space="preserve">Messwesen </t>
    </r>
    <r>
      <rPr>
        <b/>
        <sz val="11"/>
        <color rgb="FFFFFFFF"/>
        <rFont val="Century Gothic"/>
        <family val="2"/>
      </rPr>
      <t xml:space="preserve">+ </t>
    </r>
    <r>
      <rPr>
        <b/>
        <sz val="11"/>
        <rFont val="Century Gothic"/>
        <family val="2"/>
      </rPr>
      <t xml:space="preserve">Energielieferung </t>
    </r>
    <r>
      <rPr>
        <b/>
        <sz val="11"/>
        <color rgb="FFFFFFFF"/>
        <rFont val="Century Gothic"/>
        <family val="2"/>
      </rPr>
      <t xml:space="preserve">+ </t>
    </r>
    <r>
      <rPr>
        <b/>
        <sz val="11"/>
        <rFont val="Century Gothic"/>
        <family val="2"/>
      </rPr>
      <t>Abgaben</t>
    </r>
  </si>
  <si>
    <r>
      <rPr>
        <sz val="10"/>
        <rFont val="Century Gothic"/>
        <family val="2"/>
      </rPr>
      <t>Das Elektrizitätsprodukt "Gewerbetarif" gilt für Leistungskunden der Niederspannung mit einem Verbrauch von 50'000-100'000 kWh/Jahr.</t>
    </r>
  </si>
  <si>
    <r>
      <rPr>
        <sz val="18"/>
        <color rgb="FF262626"/>
        <rFont val="Century Gothic"/>
        <family val="2"/>
      </rPr>
      <t xml:space="preserve">Preisblatt
</t>
    </r>
    <r>
      <rPr>
        <b/>
        <sz val="20"/>
        <color rgb="FF262626"/>
        <rFont val="Century Gothic"/>
        <family val="2"/>
      </rPr>
      <t xml:space="preserve">Gewerbetarif
</t>
    </r>
    <r>
      <rPr>
        <sz val="12"/>
        <color rgb="FF7F7F7F"/>
        <rFont val="Century Gothic"/>
        <family val="2"/>
      </rPr>
      <t xml:space="preserve">Gültig ab 1. Januar 2026
</t>
    </r>
    <r>
      <rPr>
        <b/>
        <sz val="10"/>
        <rFont val="Century Gothic"/>
        <family val="2"/>
      </rPr>
      <t>Tarifbezeichnung: N400Gw/E400Gw (50'000kWh – 100'000 kWh, 400 V)</t>
    </r>
  </si>
  <si>
    <t>Bemerkung :einheitlicher Traiff Hoch und Niedee sowie Sommer und Winter</t>
  </si>
  <si>
    <t>Total :</t>
  </si>
  <si>
    <t>Rp/kWh</t>
  </si>
  <si>
    <t>Rheineck</t>
  </si>
  <si>
    <t>Gewerbetarif</t>
  </si>
  <si>
    <r>
      <rPr>
        <sz val="18"/>
        <color rgb="FF262626"/>
        <rFont val="Verdana"/>
        <family val="2"/>
      </rPr>
      <t xml:space="preserve">Preisblatt
</t>
    </r>
    <r>
      <rPr>
        <b/>
        <sz val="20"/>
        <color rgb="FF262626"/>
        <rFont val="Tahoma"/>
        <family val="2"/>
      </rPr>
      <t xml:space="preserve">Haushalt und Kleingewerbe
</t>
    </r>
    <r>
      <rPr>
        <sz val="12"/>
        <color rgb="FF7F7F7F"/>
        <rFont val="Verdana"/>
        <family val="2"/>
      </rPr>
      <t xml:space="preserve">Gültig ab 1. Januar 2026
</t>
    </r>
    <r>
      <rPr>
        <b/>
        <sz val="10"/>
        <rFont val="Tahoma"/>
        <family val="2"/>
      </rPr>
      <t>Tarifbezeichnung: Ndo400/Edo400 (Steuertarif &lt; 50'000 kWh/ Anschlussleistung &lt; 30 kVA)</t>
    </r>
  </si>
  <si>
    <r>
      <rPr>
        <sz val="10"/>
        <rFont val="Verdana"/>
        <family val="2"/>
      </rPr>
      <t>Das Elektrizitätsprodukt "Einheitstarif" gilt für Niederspannungskunden mit einem elektrischen Energiebezug von bis zu 50'000 kWh/Jahr.</t>
    </r>
  </si>
  <si>
    <r>
      <rPr>
        <sz val="16"/>
        <color rgb="FFFFFFFF"/>
        <rFont val="Verdana"/>
        <family val="2"/>
      </rPr>
      <t xml:space="preserve">Elektrizitätspreise
</t>
    </r>
    <r>
      <rPr>
        <b/>
        <sz val="11"/>
        <rFont val="Tahoma"/>
        <family val="2"/>
      </rPr>
      <t xml:space="preserve">Netznutzung </t>
    </r>
    <r>
      <rPr>
        <b/>
        <sz val="11"/>
        <color rgb="FFFFFFFF"/>
        <rFont val="Tahoma"/>
        <family val="2"/>
      </rPr>
      <t xml:space="preserve">+ </t>
    </r>
    <r>
      <rPr>
        <b/>
        <sz val="11"/>
        <rFont val="Tahoma"/>
        <family val="2"/>
      </rPr>
      <t xml:space="preserve">Messwesen </t>
    </r>
    <r>
      <rPr>
        <b/>
        <sz val="11"/>
        <color rgb="FFFFFFFF"/>
        <rFont val="Tahoma"/>
        <family val="2"/>
      </rPr>
      <t xml:space="preserve">+ </t>
    </r>
    <r>
      <rPr>
        <b/>
        <sz val="11"/>
        <rFont val="Tahoma"/>
        <family val="2"/>
      </rPr>
      <t xml:space="preserve">Energielieferung </t>
    </r>
    <r>
      <rPr>
        <b/>
        <sz val="11"/>
        <color rgb="FFFFFFFF"/>
        <rFont val="Tahoma"/>
        <family val="2"/>
      </rPr>
      <t xml:space="preserve">+ </t>
    </r>
    <r>
      <rPr>
        <b/>
        <sz val="11"/>
        <rFont val="Tahoma"/>
        <family val="2"/>
      </rPr>
      <t>Abgaben</t>
    </r>
  </si>
  <si>
    <r>
      <rPr>
        <sz val="11"/>
        <color rgb="FFFFFFFF"/>
        <rFont val="Verdana"/>
        <family val="2"/>
      </rPr>
      <t>exkl. MwSt.</t>
    </r>
  </si>
  <si>
    <r>
      <rPr>
        <sz val="11"/>
        <color rgb="FFFFFFFF"/>
        <rFont val="Verdana"/>
        <family val="2"/>
      </rPr>
      <t>inkl. MwSt.</t>
    </r>
  </si>
  <si>
    <r>
      <rPr>
        <sz val="11"/>
        <rFont val="Verdana"/>
        <family val="2"/>
      </rPr>
      <t>Systemgebühren</t>
    </r>
  </si>
  <si>
    <r>
      <rPr>
        <sz val="11"/>
        <rFont val="Verdana"/>
        <family val="2"/>
      </rPr>
      <t>CHF/Monat</t>
    </r>
  </si>
  <si>
    <r>
      <rPr>
        <sz val="11"/>
        <rFont val="Verdana"/>
        <family val="2"/>
      </rPr>
      <t>Wirkenergie Einfachtarif (ET)</t>
    </r>
  </si>
  <si>
    <r>
      <rPr>
        <sz val="11"/>
        <rFont val="Verdana"/>
        <family val="2"/>
      </rPr>
      <t>Rp. / kWh</t>
    </r>
  </si>
  <si>
    <r>
      <rPr>
        <sz val="11"/>
        <rFont val="Verdana"/>
        <family val="2"/>
      </rPr>
      <t>Messtarif Intelligent</t>
    </r>
  </si>
  <si>
    <r>
      <rPr>
        <b/>
        <sz val="9"/>
        <rFont val="Tahoma"/>
        <family val="2"/>
      </rPr>
      <t xml:space="preserve">davon Netznutzung
</t>
    </r>
    <r>
      <rPr>
        <sz val="9"/>
        <rFont val="Verdana"/>
        <family val="2"/>
      </rPr>
      <t>(Sommer und Winter)</t>
    </r>
  </si>
  <si>
    <r>
      <rPr>
        <sz val="9"/>
        <rFont val="Verdana"/>
        <family val="2"/>
      </rPr>
      <t>exkl. MwSt.</t>
    </r>
  </si>
  <si>
    <r>
      <rPr>
        <b/>
        <sz val="9"/>
        <rFont val="Tahoma"/>
        <family val="2"/>
      </rPr>
      <t xml:space="preserve">davon Energielieferung
</t>
    </r>
    <r>
      <rPr>
        <sz val="9"/>
        <rFont val="Verdana"/>
        <family val="2"/>
      </rPr>
      <t>(Einheitstarif)</t>
    </r>
  </si>
  <si>
    <r>
      <rPr>
        <sz val="9"/>
        <rFont val="Verdana"/>
        <family val="2"/>
      </rPr>
      <t>Systemgebühren</t>
    </r>
  </si>
  <si>
    <r>
      <rPr>
        <sz val="9"/>
        <rFont val="Verdana"/>
        <family val="2"/>
      </rPr>
      <t>CHF/Monat</t>
    </r>
  </si>
  <si>
    <r>
      <rPr>
        <sz val="9"/>
        <rFont val="Verdana"/>
        <family val="2"/>
      </rPr>
      <t>Arbeitspreis ET</t>
    </r>
  </si>
  <si>
    <r>
      <rPr>
        <sz val="9"/>
        <rFont val="Verdana"/>
        <family val="2"/>
      </rPr>
      <t>Rp./kWh</t>
    </r>
  </si>
  <si>
    <r>
      <rPr>
        <b/>
        <sz val="9"/>
        <rFont val="Tahoma"/>
        <family val="2"/>
      </rPr>
      <t>davon Messwesen</t>
    </r>
  </si>
  <si>
    <r>
      <rPr>
        <sz val="9"/>
        <rFont val="Verdana"/>
        <family val="2"/>
      </rPr>
      <t>Messtarif Intelligent</t>
    </r>
  </si>
  <si>
    <r>
      <rPr>
        <b/>
        <sz val="9"/>
        <rFont val="Tahoma"/>
        <family val="2"/>
      </rPr>
      <t>davon Abgaben</t>
    </r>
  </si>
  <si>
    <r>
      <rPr>
        <sz val="9"/>
        <rFont val="Verdana"/>
        <family val="2"/>
      </rPr>
      <t>Abgaben an das Gemeinwesen</t>
    </r>
  </si>
  <si>
    <r>
      <rPr>
        <sz val="9"/>
        <rFont val="Verdana"/>
        <family val="2"/>
      </rPr>
      <t>Systemdienstleistungen swissgrid</t>
    </r>
  </si>
  <si>
    <r>
      <rPr>
        <sz val="9"/>
        <rFont val="Verdana"/>
        <family val="2"/>
      </rPr>
      <t>Stromreserve swissgrid</t>
    </r>
  </si>
  <si>
    <r>
      <rPr>
        <sz val="9"/>
        <rFont val="Verdana"/>
        <family val="2"/>
      </rPr>
      <t>Solidarisierte Kosten swissgrid</t>
    </r>
  </si>
  <si>
    <r>
      <rPr>
        <sz val="9"/>
        <rFont val="Verdana"/>
        <family val="2"/>
      </rPr>
      <t>Gesetzliche Bundesabgaben</t>
    </r>
  </si>
  <si>
    <t>Total</t>
  </si>
  <si>
    <t>Abgaben</t>
  </si>
  <si>
    <t>Netznutzung</t>
  </si>
  <si>
    <t>Energie</t>
  </si>
  <si>
    <t>Haushalte und Kleinngewerbe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</si>
</sst>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;@"/>
    <numFmt numFmtId="165" formatCode="0.000"/>
  </numFmts>
  <fonts count="58">
    <font>
      <sz val="10"/>
      <color rgb="FF000000"/>
      <name val="Times New Roman"/>
      <charset val="204"/>
    </font>
    <font>
      <b/>
      <i/>
      <sz val="12"/>
      <name val="Arial"/>
      <family val="2"/>
    </font>
    <font>
      <sz val="8"/>
      <name val="Arial MT"/>
    </font>
    <font>
      <sz val="10"/>
      <name val="Arial MT"/>
    </font>
    <font>
      <sz val="10"/>
      <color rgb="FF0E2841"/>
      <name val="Arial MT"/>
      <family val="2"/>
    </font>
    <font>
      <sz val="8"/>
      <color rgb="FF0E2841"/>
      <name val="Arial MT"/>
      <family val="2"/>
    </font>
    <font>
      <b/>
      <i/>
      <sz val="12"/>
      <color rgb="FF0E2841"/>
      <name val="Arial"/>
      <family val="2"/>
    </font>
    <font>
      <vertAlign val="subscript"/>
      <sz val="8"/>
      <color rgb="FF0E2841"/>
      <name val="Arial MT"/>
      <family val="2"/>
    </font>
    <font>
      <sz val="7"/>
      <color rgb="FF0E2841"/>
      <name val="Arial MT"/>
      <family val="2"/>
    </font>
    <font>
      <b/>
      <i/>
      <sz val="12"/>
      <color rgb="FF002060"/>
      <name val="Arial"/>
      <family val="2"/>
    </font>
    <font>
      <sz val="10"/>
      <color rgb="FF000000"/>
      <name val="Times New Roman"/>
      <family val="1"/>
    </font>
    <font>
      <b/>
      <sz val="16"/>
      <color rgb="FF000000"/>
      <name val="Helvetica"/>
      <family val="2"/>
    </font>
    <font>
      <b/>
      <i/>
      <sz val="10"/>
      <color rgb="FF000000"/>
      <name val="Arial"/>
      <family val="2"/>
    </font>
    <font>
      <sz val="8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E2841"/>
      <name val="Arial"/>
      <family val="2"/>
    </font>
    <font>
      <sz val="10"/>
      <name val="Arial"/>
      <family val="2"/>
    </font>
    <font>
      <sz val="9"/>
      <color rgb="FF000000"/>
      <name val="Century Gothic"/>
      <family val="1"/>
    </font>
    <font>
      <b/>
      <sz val="9"/>
      <color rgb="FF000000"/>
      <name val="Century Gothic"/>
      <family val="1"/>
    </font>
    <font>
      <sz val="16"/>
      <color rgb="FFFFFFFF"/>
      <name val="Century Gothic"/>
      <family val="1"/>
    </font>
    <font>
      <sz val="11"/>
      <color rgb="FF000000"/>
      <name val="Century Gothic"/>
      <family val="1"/>
    </font>
    <font>
      <b/>
      <sz val="11"/>
      <color rgb="FF000000"/>
      <name val="Century Gothic"/>
      <family val="1"/>
    </font>
    <font>
      <b/>
      <sz val="7"/>
      <color rgb="FF000000"/>
      <name val="Century Gothic"/>
      <family val="1"/>
    </font>
    <font>
      <sz val="9"/>
      <color rgb="FF000000"/>
      <name val="Century Gothic"/>
      <family val="2"/>
    </font>
    <font>
      <sz val="9"/>
      <name val="Century Gothic"/>
      <family val="1"/>
    </font>
    <font>
      <sz val="9"/>
      <name val="Century Gothic"/>
      <family val="2"/>
    </font>
    <font>
      <b/>
      <sz val="9"/>
      <name val="Century Gothic"/>
      <family val="1"/>
    </font>
    <font>
      <b/>
      <sz val="9"/>
      <name val="Century Gothic"/>
      <family val="2"/>
    </font>
    <font>
      <sz val="11"/>
      <color rgb="FF000000"/>
      <name val="Century Gothic"/>
      <family val="2"/>
    </font>
    <font>
      <sz val="11"/>
      <name val="Century Gothic"/>
      <family val="1"/>
    </font>
    <font>
      <sz val="11"/>
      <name val="Century Gothic"/>
      <family val="2"/>
    </font>
    <font>
      <sz val="11"/>
      <color rgb="FFFFFFFF"/>
      <name val="Century Gothic"/>
      <family val="2"/>
    </font>
    <font>
      <sz val="16"/>
      <color rgb="FFFFFFFF"/>
      <name val="Century Gothic"/>
      <family val="2"/>
    </font>
    <font>
      <b/>
      <sz val="11"/>
      <name val="Century Gothic"/>
      <family val="2"/>
    </font>
    <font>
      <b/>
      <sz val="11"/>
      <color rgb="FFFFFFFF"/>
      <name val="Century Gothic"/>
      <family val="2"/>
    </font>
    <font>
      <sz val="10"/>
      <name val="Century Gothic"/>
      <family val="1"/>
    </font>
    <font>
      <sz val="10"/>
      <name val="Century Gothic"/>
      <family val="2"/>
    </font>
    <font>
      <sz val="18"/>
      <color rgb="FF262626"/>
      <name val="Century Gothic"/>
      <family val="2"/>
    </font>
    <font>
      <b/>
      <sz val="20"/>
      <color rgb="FF262626"/>
      <name val="Century Gothic"/>
      <family val="2"/>
    </font>
    <font>
      <sz val="12"/>
      <color rgb="FF7F7F7F"/>
      <name val="Century Gothic"/>
      <family val="2"/>
    </font>
    <font>
      <b/>
      <sz val="10"/>
      <name val="Century Gothic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8"/>
      <color rgb="FF262626"/>
      <name val="Verdana"/>
      <family val="2"/>
    </font>
    <font>
      <b/>
      <sz val="20"/>
      <color rgb="FF262626"/>
      <name val="Tahoma"/>
      <family val="2"/>
    </font>
    <font>
      <sz val="12"/>
      <color rgb="FF7F7F7F"/>
      <name val="Verdana"/>
      <family val="2"/>
    </font>
    <font>
      <b/>
      <sz val="10"/>
      <name val="Tahoma"/>
      <family val="2"/>
    </font>
    <font>
      <sz val="10"/>
      <name val="Verdana"/>
      <family val="2"/>
    </font>
    <font>
      <sz val="16"/>
      <color rgb="FFFFFFFF"/>
      <name val="Verdana"/>
      <family val="2"/>
    </font>
    <font>
      <b/>
      <sz val="11"/>
      <name val="Tahoma"/>
      <family val="2"/>
    </font>
    <font>
      <b/>
      <sz val="11"/>
      <color rgb="FFFFFFFF"/>
      <name val="Tahoma"/>
      <family val="2"/>
    </font>
    <font>
      <sz val="11"/>
      <name val="Verdana"/>
      <family val="2"/>
    </font>
    <font>
      <sz val="11"/>
      <color rgb="FFFFFFFF"/>
      <name val="Verdana"/>
      <family val="2"/>
    </font>
    <font>
      <sz val="11"/>
      <color rgb="FF000000"/>
      <name val="Verdana"/>
      <family val="2"/>
    </font>
    <font>
      <b/>
      <sz val="9"/>
      <name val="Tahoma"/>
      <family val="2"/>
    </font>
    <font>
      <sz val="9"/>
      <name val="Verdana"/>
      <family val="2"/>
    </font>
    <font>
      <sz val="9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C6D9F1"/>
      </patternFill>
    </fill>
    <fill>
      <patternFill patternType="solid">
        <fgColor rgb="FF548DD4"/>
      </patternFill>
    </fill>
  </fills>
  <borders count="7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/>
    <xf numFmtId="0" fontId="10" fillId="0" borderId="0"/>
  </cellStyleXfs>
  <cellXfs count="12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indent="1" shrinkToFit="1"/>
    </xf>
    <xf numFmtId="2" fontId="4" fillId="0" borderId="1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indent="1" shrinkToFit="1"/>
    </xf>
    <xf numFmtId="2" fontId="4" fillId="0" borderId="3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 inden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2" fillId="0" borderId="0" xfId="0" applyFont="1" applyAlignment="1">
      <alignment horizontal="left" vertical="top"/>
    </xf>
    <xf numFmtId="0" fontId="0" fillId="0" borderId="0" xfId="0"/>
    <xf numFmtId="2" fontId="10" fillId="2" borderId="4" xfId="0" quotePrefix="1" applyNumberFormat="1" applyFont="1" applyFill="1" applyBorder="1"/>
    <xf numFmtId="2" fontId="10" fillId="0" borderId="4" xfId="0" quotePrefix="1" applyNumberFormat="1" applyFont="1" applyBorder="1"/>
    <xf numFmtId="22" fontId="10" fillId="0" borderId="0" xfId="0" applyNumberFormat="1" applyFont="1"/>
    <xf numFmtId="164" fontId="10" fillId="0" borderId="0" xfId="0" applyNumberFormat="1" applyFont="1"/>
    <xf numFmtId="21" fontId="10" fillId="0" borderId="0" xfId="0" applyNumberFormat="1" applyFont="1"/>
    <xf numFmtId="0" fontId="4" fillId="0" borderId="3" xfId="0" applyFont="1" applyBorder="1" applyAlignment="1">
      <alignment horizontal="right" vertical="top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6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right" vertical="top" wrapText="1"/>
    </xf>
    <xf numFmtId="0" fontId="14" fillId="0" borderId="0" xfId="0" applyFont="1" applyAlignment="1">
      <alignment horizontal="left" wrapText="1"/>
    </xf>
    <xf numFmtId="0" fontId="16" fillId="0" borderId="3" xfId="0" applyFont="1" applyBorder="1" applyAlignment="1">
      <alignment horizontal="right" indent="1" shrinkToFit="1"/>
    </xf>
    <xf numFmtId="0" fontId="17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right" vertical="top" wrapText="1"/>
    </xf>
    <xf numFmtId="22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0" fillId="0" borderId="0" xfId="1" applyAlignment="1">
      <alignment horizontal="left" vertical="top"/>
    </xf>
    <xf numFmtId="0" fontId="10" fillId="0" borderId="0" xfId="1" applyAlignment="1">
      <alignment horizontal="left" vertical="center" wrapText="1"/>
    </xf>
    <xf numFmtId="0" fontId="10" fillId="0" borderId="0" xfId="1" applyAlignment="1">
      <alignment horizontal="left" vertical="top" wrapText="1"/>
    </xf>
    <xf numFmtId="0" fontId="25" fillId="3" borderId="0" xfId="1" applyFont="1" applyFill="1" applyAlignment="1">
      <alignment horizontal="left" vertical="center" wrapText="1"/>
    </xf>
    <xf numFmtId="0" fontId="25" fillId="3" borderId="0" xfId="1" applyFont="1" applyFill="1" applyAlignment="1">
      <alignment horizontal="left" vertical="top" wrapText="1"/>
    </xf>
    <xf numFmtId="0" fontId="10" fillId="0" borderId="0" xfId="1" applyAlignment="1">
      <alignment horizontal="left" wrapText="1"/>
    </xf>
    <xf numFmtId="0" fontId="25" fillId="3" borderId="5" xfId="1" applyFont="1" applyFill="1" applyBorder="1" applyAlignment="1">
      <alignment horizontal="left" vertical="center" wrapText="1"/>
    </xf>
    <xf numFmtId="0" fontId="25" fillId="3" borderId="5" xfId="1" applyFont="1" applyFill="1" applyBorder="1" applyAlignment="1">
      <alignment horizontal="left" vertical="top" wrapText="1"/>
    </xf>
    <xf numFmtId="0" fontId="10" fillId="4" borderId="6" xfId="1" applyFill="1" applyBorder="1" applyAlignment="1">
      <alignment horizontal="left" wrapText="1"/>
    </xf>
    <xf numFmtId="2" fontId="24" fillId="3" borderId="5" xfId="1" applyNumberFormat="1" applyFont="1" applyFill="1" applyBorder="1" applyAlignment="1">
      <alignment horizontal="right" vertical="top" shrinkToFit="1"/>
    </xf>
    <xf numFmtId="0" fontId="25" fillId="4" borderId="6" xfId="1" applyFont="1" applyFill="1" applyBorder="1" applyAlignment="1">
      <alignment horizontal="right" vertical="top" wrapText="1"/>
    </xf>
    <xf numFmtId="0" fontId="10" fillId="4" borderId="6" xfId="1" applyFill="1" applyBorder="1" applyAlignment="1">
      <alignment horizontal="left" vertical="center" wrapText="1"/>
    </xf>
    <xf numFmtId="0" fontId="42" fillId="0" borderId="0" xfId="1" applyFont="1" applyAlignment="1">
      <alignment horizontal="left" vertical="top"/>
    </xf>
    <xf numFmtId="0" fontId="43" fillId="0" borderId="0" xfId="1" applyFont="1" applyAlignment="1">
      <alignment horizontal="left" vertical="top"/>
    </xf>
    <xf numFmtId="2" fontId="43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center" wrapText="1"/>
    </xf>
    <xf numFmtId="0" fontId="56" fillId="4" borderId="6" xfId="0" applyFont="1" applyFill="1" applyBorder="1" applyAlignment="1">
      <alignment horizontal="right" vertical="top" wrapText="1"/>
    </xf>
    <xf numFmtId="0" fontId="56" fillId="3" borderId="5" xfId="0" applyFont="1" applyFill="1" applyBorder="1" applyAlignment="1">
      <alignment horizontal="left" vertical="top" wrapText="1"/>
    </xf>
    <xf numFmtId="2" fontId="57" fillId="3" borderId="5" xfId="0" applyNumberFormat="1" applyFont="1" applyFill="1" applyBorder="1" applyAlignment="1">
      <alignment horizontal="right" vertical="top" shrinkToFit="1"/>
    </xf>
    <xf numFmtId="0" fontId="56" fillId="3" borderId="0" xfId="0" applyFont="1" applyFill="1" applyAlignment="1">
      <alignment horizontal="left" vertical="top" wrapText="1"/>
    </xf>
    <xf numFmtId="0" fontId="55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wrapText="1"/>
    </xf>
    <xf numFmtId="0" fontId="56" fillId="3" borderId="5" xfId="0" applyFont="1" applyFill="1" applyBorder="1" applyAlignment="1">
      <alignment horizontal="left" vertical="center" wrapText="1"/>
    </xf>
    <xf numFmtId="0" fontId="56" fillId="3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top"/>
    </xf>
    <xf numFmtId="0" fontId="43" fillId="0" borderId="0" xfId="0" applyFont="1" applyAlignment="1">
      <alignment horizontal="left" vertical="top"/>
    </xf>
    <xf numFmtId="2" fontId="42" fillId="0" borderId="0" xfId="0" applyNumberFormat="1" applyFont="1" applyAlignment="1">
      <alignment horizontal="left" vertical="top"/>
    </xf>
    <xf numFmtId="2" fontId="43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0" fillId="0" borderId="0" xfId="1" applyAlignment="1">
      <alignment horizontal="left" vertical="top" wrapText="1"/>
    </xf>
    <xf numFmtId="0" fontId="36" fillId="0" borderId="0" xfId="1" applyFont="1" applyAlignment="1">
      <alignment horizontal="left" vertical="top" wrapText="1"/>
    </xf>
    <xf numFmtId="0" fontId="10" fillId="6" borderId="6" xfId="1" applyFill="1" applyBorder="1" applyAlignment="1">
      <alignment horizontal="left" vertical="top" wrapText="1"/>
    </xf>
    <xf numFmtId="0" fontId="30" fillId="6" borderId="6" xfId="1" applyFont="1" applyFill="1" applyBorder="1" applyAlignment="1">
      <alignment horizontal="left" vertical="center" wrapText="1" indent="3"/>
    </xf>
    <xf numFmtId="0" fontId="30" fillId="5" borderId="5" xfId="1" applyFont="1" applyFill="1" applyBorder="1" applyAlignment="1">
      <alignment horizontal="left" vertical="top" wrapText="1"/>
    </xf>
    <xf numFmtId="2" fontId="29" fillId="5" borderId="5" xfId="1" applyNumberFormat="1" applyFont="1" applyFill="1" applyBorder="1" applyAlignment="1">
      <alignment horizontal="right" vertical="top" shrinkToFit="1"/>
    </xf>
    <xf numFmtId="0" fontId="30" fillId="5" borderId="0" xfId="1" applyFont="1" applyFill="1" applyAlignment="1">
      <alignment horizontal="left" vertical="top" wrapText="1"/>
    </xf>
    <xf numFmtId="2" fontId="29" fillId="5" borderId="0" xfId="1" applyNumberFormat="1" applyFont="1" applyFill="1" applyAlignment="1">
      <alignment horizontal="left" vertical="top" indent="7" shrinkToFit="1"/>
    </xf>
    <xf numFmtId="2" fontId="29" fillId="5" borderId="0" xfId="1" applyNumberFormat="1" applyFont="1" applyFill="1" applyAlignment="1">
      <alignment horizontal="right" vertical="top" shrinkToFit="1"/>
    </xf>
    <xf numFmtId="0" fontId="10" fillId="4" borderId="6" xfId="1" applyFill="1" applyBorder="1" applyAlignment="1">
      <alignment horizontal="left" vertical="top" wrapText="1"/>
    </xf>
    <xf numFmtId="0" fontId="25" fillId="4" borderId="6" xfId="1" applyFont="1" applyFill="1" applyBorder="1" applyAlignment="1">
      <alignment horizontal="left" vertical="top" wrapText="1" indent="1"/>
    </xf>
    <xf numFmtId="0" fontId="10" fillId="4" borderId="6" xfId="1" applyFill="1" applyBorder="1" applyAlignment="1">
      <alignment horizontal="left" vertical="center" wrapText="1"/>
    </xf>
    <xf numFmtId="0" fontId="25" fillId="3" borderId="5" xfId="1" applyFont="1" applyFill="1" applyBorder="1" applyAlignment="1">
      <alignment horizontal="left" vertical="top" wrapText="1"/>
    </xf>
    <xf numFmtId="2" fontId="24" fillId="3" borderId="5" xfId="1" applyNumberFormat="1" applyFont="1" applyFill="1" applyBorder="1" applyAlignment="1">
      <alignment horizontal="left" vertical="top" indent="5" shrinkToFit="1"/>
    </xf>
    <xf numFmtId="0" fontId="25" fillId="3" borderId="0" xfId="1" applyFont="1" applyFill="1" applyAlignment="1">
      <alignment horizontal="left" vertical="top" wrapText="1"/>
    </xf>
    <xf numFmtId="2" fontId="24" fillId="3" borderId="0" xfId="1" applyNumberFormat="1" applyFont="1" applyFill="1" applyAlignment="1">
      <alignment horizontal="left" vertical="top" indent="5" shrinkToFit="1"/>
    </xf>
    <xf numFmtId="0" fontId="10" fillId="0" borderId="0" xfId="1" applyAlignment="1">
      <alignment horizontal="left" wrapText="1"/>
    </xf>
    <xf numFmtId="0" fontId="27" fillId="4" borderId="6" xfId="1" applyFont="1" applyFill="1" applyBorder="1" applyAlignment="1">
      <alignment horizontal="left" vertical="top" wrapText="1"/>
    </xf>
    <xf numFmtId="2" fontId="24" fillId="3" borderId="5" xfId="1" applyNumberFormat="1" applyFont="1" applyFill="1" applyBorder="1" applyAlignment="1">
      <alignment horizontal="left" vertical="center" indent="5" shrinkToFit="1"/>
    </xf>
    <xf numFmtId="2" fontId="24" fillId="3" borderId="0" xfId="1" applyNumberFormat="1" applyFont="1" applyFill="1" applyAlignment="1">
      <alignment horizontal="left" vertical="center" indent="5" shrinkToFit="1"/>
    </xf>
    <xf numFmtId="2" fontId="57" fillId="3" borderId="0" xfId="0" applyNumberFormat="1" applyFont="1" applyFill="1" applyAlignment="1">
      <alignment horizontal="left" vertical="center" indent="5" shrinkToFit="1"/>
    </xf>
    <xf numFmtId="0" fontId="56" fillId="3" borderId="5" xfId="0" applyFont="1" applyFill="1" applyBorder="1" applyAlignment="1">
      <alignment horizontal="left" vertical="top" wrapText="1"/>
    </xf>
    <xf numFmtId="2" fontId="57" fillId="3" borderId="0" xfId="0" applyNumberFormat="1" applyFont="1" applyFill="1" applyAlignment="1">
      <alignment horizontal="left" vertical="top" indent="4" shrinkToFit="1"/>
    </xf>
    <xf numFmtId="0" fontId="0" fillId="0" borderId="0" xfId="0" applyAlignment="1">
      <alignment horizontal="left" vertical="top" wrapText="1"/>
    </xf>
    <xf numFmtId="0" fontId="56" fillId="4" borderId="6" xfId="0" applyFont="1" applyFill="1" applyBorder="1" applyAlignment="1">
      <alignment horizontal="left" vertical="top" wrapText="1" indent="1"/>
    </xf>
    <xf numFmtId="2" fontId="57" fillId="3" borderId="5" xfId="0" applyNumberFormat="1" applyFont="1" applyFill="1" applyBorder="1" applyAlignment="1">
      <alignment horizontal="left" vertical="top" indent="5" shrinkToFit="1"/>
    </xf>
    <xf numFmtId="2" fontId="57" fillId="3" borderId="5" xfId="0" applyNumberFormat="1" applyFont="1" applyFill="1" applyBorder="1" applyAlignment="1">
      <alignment horizontal="left" vertical="center" indent="5" shrinkToFit="1"/>
    </xf>
    <xf numFmtId="0" fontId="52" fillId="5" borderId="0" xfId="0" applyFont="1" applyFill="1" applyAlignment="1">
      <alignment horizontal="left" vertical="top" wrapText="1"/>
    </xf>
    <xf numFmtId="2" fontId="54" fillId="5" borderId="0" xfId="0" applyNumberFormat="1" applyFont="1" applyFill="1" applyAlignment="1">
      <alignment horizontal="right" vertical="top" shrinkToFi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center" wrapText="1"/>
    </xf>
    <xf numFmtId="0" fontId="52" fillId="5" borderId="5" xfId="0" applyFont="1" applyFill="1" applyBorder="1" applyAlignment="1">
      <alignment horizontal="left" vertical="top" wrapText="1"/>
    </xf>
    <xf numFmtId="2" fontId="54" fillId="5" borderId="5" xfId="0" applyNumberFormat="1" applyFont="1" applyFill="1" applyBorder="1" applyAlignment="1">
      <alignment horizontal="right" vertical="top" shrinkToFit="1"/>
    </xf>
    <xf numFmtId="2" fontId="54" fillId="5" borderId="0" xfId="0" applyNumberFormat="1" applyFont="1" applyFill="1" applyAlignment="1">
      <alignment horizontal="left" vertical="top" indent="7" shrinkToFit="1"/>
    </xf>
    <xf numFmtId="0" fontId="48" fillId="0" borderId="0" xfId="0" applyFont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52" fillId="6" borderId="6" xfId="0" applyFont="1" applyFill="1" applyBorder="1" applyAlignment="1">
      <alignment horizontal="left" vertical="center" wrapText="1" indent="3"/>
    </xf>
    <xf numFmtId="165" fontId="14" fillId="0" borderId="0" xfId="0" applyNumberFormat="1" applyFont="1" applyAlignment="1">
      <alignment vertical="center"/>
    </xf>
    <xf numFmtId="165" fontId="16" fillId="0" borderId="3" xfId="0" applyNumberFormat="1" applyFont="1" applyBorder="1" applyAlignment="1">
      <alignment vertical="center" shrinkToFit="1"/>
    </xf>
    <xf numFmtId="165" fontId="14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right" vertical="top"/>
    </xf>
  </cellXfs>
  <cellStyles count="2">
    <cellStyle name="Normal" xfId="0" builtinId="0"/>
    <cellStyle name="Normal 2" xfId="1" xr:uid="{203B9CB9-B095-EE42-A1D6-1B5398E0D0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581025</xdr:colOff>
      <xdr:row>0</xdr:row>
      <xdr:rowOff>380</xdr:rowOff>
    </xdr:from>
    <xdr:ext cx="2427858" cy="621029"/>
    <xdr:pic>
      <xdr:nvPicPr>
        <xdr:cNvPr id="2" name="image1.png">
          <a:extLst>
            <a:ext uri="{FF2B5EF4-FFF2-40B4-BE49-F238E27FC236}">
              <a16:creationId xmlns:a16="http://schemas.microsoft.com/office/drawing/2014/main" id="{7D7F741F-A564-804B-B8B9-887977E06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8825" y="380"/>
          <a:ext cx="2427858" cy="621029"/>
        </a:xfrm>
        <a:prstGeom prst="rect">
          <a:avLst/>
        </a:prstGeom>
      </xdr:spPr>
    </xdr:pic>
    <xdr:clientData/>
  </xdr:oneCellAnchor>
  <xdr:oneCellAnchor>
    <xdr:from>
      <xdr:col>0</xdr:col>
      <xdr:colOff>5714</xdr:colOff>
      <xdr:row>8</xdr:row>
      <xdr:rowOff>13843</xdr:rowOff>
    </xdr:from>
    <xdr:ext cx="794385" cy="1403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6EEEB8FF-536A-4043-9DD1-F1ACA515D289}"/>
            </a:ext>
          </a:extLst>
        </xdr:cNvPr>
        <xdr:cNvSpPr/>
      </xdr:nvSpPr>
      <xdr:spPr>
        <a:xfrm>
          <a:off x="5714" y="1334643"/>
          <a:ext cx="794385" cy="140335"/>
        </a:xfrm>
        <a:custGeom>
          <a:avLst/>
          <a:gdLst/>
          <a:ahLst/>
          <a:cxnLst/>
          <a:rect l="0" t="0" r="0" b="0"/>
          <a:pathLst>
            <a:path w="794385" h="140335">
              <a:moveTo>
                <a:pt x="794385" y="0"/>
              </a:moveTo>
              <a:lnTo>
                <a:pt x="0" y="0"/>
              </a:lnTo>
              <a:lnTo>
                <a:pt x="397192" y="140334"/>
              </a:lnTo>
              <a:lnTo>
                <a:pt x="794385" y="0"/>
              </a:lnTo>
              <a:close/>
            </a:path>
          </a:pathLst>
        </a:custGeom>
        <a:solidFill>
          <a:srgbClr val="558ED5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581025</xdr:colOff>
      <xdr:row>0</xdr:row>
      <xdr:rowOff>380</xdr:rowOff>
    </xdr:from>
    <xdr:ext cx="2427858" cy="621029"/>
    <xdr:pic>
      <xdr:nvPicPr>
        <xdr:cNvPr id="2" name="image1.png">
          <a:extLst>
            <a:ext uri="{FF2B5EF4-FFF2-40B4-BE49-F238E27FC236}">
              <a16:creationId xmlns:a16="http://schemas.microsoft.com/office/drawing/2014/main" id="{B8600DED-95EC-A640-A6B7-7412E015F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2125" y="380"/>
          <a:ext cx="2427858" cy="6210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20827</xdr:rowOff>
    </xdr:from>
    <xdr:ext cx="794385" cy="1403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9B609C89-EF71-3747-BE8A-F40AA3C7CEB4}"/>
            </a:ext>
          </a:extLst>
        </xdr:cNvPr>
        <xdr:cNvSpPr/>
      </xdr:nvSpPr>
      <xdr:spPr>
        <a:xfrm>
          <a:off x="0" y="3576827"/>
          <a:ext cx="794385" cy="140335"/>
        </a:xfrm>
        <a:custGeom>
          <a:avLst/>
          <a:gdLst/>
          <a:ahLst/>
          <a:cxnLst/>
          <a:rect l="0" t="0" r="0" b="0"/>
          <a:pathLst>
            <a:path w="794385" h="140335">
              <a:moveTo>
                <a:pt x="794385" y="0"/>
              </a:moveTo>
              <a:lnTo>
                <a:pt x="0" y="0"/>
              </a:lnTo>
              <a:lnTo>
                <a:pt x="397192" y="140335"/>
              </a:lnTo>
              <a:lnTo>
                <a:pt x="794385" y="0"/>
              </a:lnTo>
              <a:close/>
            </a:path>
          </a:pathLst>
        </a:custGeom>
        <a:solidFill>
          <a:srgbClr val="558ED5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1"/>
  <sheetViews>
    <sheetView topLeftCell="A3" zoomScale="121" zoomScaleNormal="121" workbookViewId="0">
      <selection activeCell="D26" sqref="D26"/>
    </sheetView>
  </sheetViews>
  <sheetFormatPr baseColWidth="10" defaultColWidth="9" defaultRowHeight="13"/>
  <cols>
    <col min="1" max="1" width="57.3984375" customWidth="1"/>
    <col min="2" max="2" width="16.59765625" customWidth="1"/>
    <col min="3" max="3" width="8.796875" customWidth="1"/>
    <col min="4" max="4" width="17.59765625" customWidth="1"/>
    <col min="5" max="5" width="15.19921875" customWidth="1"/>
    <col min="8" max="8" width="19.19921875" customWidth="1"/>
    <col min="9" max="9" width="29.796875" customWidth="1"/>
  </cols>
  <sheetData>
    <row r="2" spans="1:9" s="20" customFormat="1" ht="21">
      <c r="A2" s="20" t="s">
        <v>26</v>
      </c>
      <c r="B2" s="81" t="s">
        <v>51</v>
      </c>
      <c r="C2" s="81"/>
      <c r="D2" s="81"/>
      <c r="E2" s="81"/>
    </row>
    <row r="6" spans="1:9" ht="15" customHeight="1">
      <c r="A6" s="77"/>
      <c r="B6" s="78"/>
      <c r="C6" s="78"/>
      <c r="D6" s="2" t="s">
        <v>0</v>
      </c>
      <c r="E6" s="2" t="s">
        <v>1</v>
      </c>
    </row>
    <row r="7" spans="1:9" ht="17.25" customHeight="1">
      <c r="A7" s="3" t="s">
        <v>2</v>
      </c>
      <c r="B7" s="4"/>
      <c r="C7" s="1"/>
      <c r="D7" s="5"/>
      <c r="E7" s="5"/>
      <c r="H7" s="22" t="s">
        <v>27</v>
      </c>
    </row>
    <row r="8" spans="1:9" ht="16.75" customHeight="1">
      <c r="A8" s="6" t="s">
        <v>3</v>
      </c>
      <c r="B8" s="7" t="s">
        <v>4</v>
      </c>
      <c r="C8" s="1"/>
      <c r="D8" s="8">
        <v>9.5</v>
      </c>
      <c r="E8" s="9">
        <v>10.27</v>
      </c>
      <c r="H8" s="19" t="s">
        <v>28</v>
      </c>
      <c r="I8" s="19" t="s">
        <v>29</v>
      </c>
    </row>
    <row r="9" spans="1:9" ht="16.75" customHeight="1">
      <c r="A9" s="6" t="s">
        <v>5</v>
      </c>
      <c r="B9" s="7" t="s">
        <v>4</v>
      </c>
      <c r="C9" s="1"/>
      <c r="D9" s="10">
        <v>9.1</v>
      </c>
      <c r="E9" s="11">
        <v>9.84</v>
      </c>
      <c r="H9" s="19" t="s">
        <v>30</v>
      </c>
      <c r="I9" s="19" t="s">
        <v>31</v>
      </c>
    </row>
    <row r="10" spans="1:9" ht="16.75" customHeight="1">
      <c r="A10" s="6" t="s">
        <v>6</v>
      </c>
      <c r="B10" s="7" t="s">
        <v>4</v>
      </c>
      <c r="C10" s="1"/>
      <c r="D10" s="10">
        <v>15.4</v>
      </c>
      <c r="E10" s="11">
        <v>16.649999999999999</v>
      </c>
      <c r="H10" s="19" t="s">
        <v>32</v>
      </c>
      <c r="I10" s="19" t="s">
        <v>33</v>
      </c>
    </row>
    <row r="11" spans="1:9" ht="16.75" customHeight="1">
      <c r="A11" s="6" t="s">
        <v>7</v>
      </c>
      <c r="B11" s="7" t="s">
        <v>4</v>
      </c>
      <c r="C11" s="1"/>
      <c r="D11" s="10">
        <v>12.5</v>
      </c>
      <c r="E11" s="11">
        <v>13.51</v>
      </c>
      <c r="H11" s="19" t="s">
        <v>34</v>
      </c>
      <c r="I11" s="19" t="s">
        <v>35</v>
      </c>
    </row>
    <row r="12" spans="1:9" ht="34.5" customHeight="1">
      <c r="A12" s="12" t="s">
        <v>8</v>
      </c>
      <c r="B12" s="13"/>
      <c r="C12" s="14"/>
      <c r="D12" s="15"/>
      <c r="E12" s="15"/>
    </row>
    <row r="13" spans="1:9" ht="16.75" customHeight="1">
      <c r="A13" s="6" t="s">
        <v>9</v>
      </c>
      <c r="B13" s="7" t="s">
        <v>10</v>
      </c>
      <c r="C13" s="1"/>
      <c r="D13" s="8">
        <v>8</v>
      </c>
      <c r="E13" s="9">
        <v>8.65</v>
      </c>
    </row>
    <row r="14" spans="1:9" ht="16.75" customHeight="1">
      <c r="A14" s="6" t="s">
        <v>11</v>
      </c>
      <c r="B14" s="7" t="s">
        <v>4</v>
      </c>
      <c r="C14" s="1"/>
      <c r="D14" s="10">
        <v>7.4</v>
      </c>
      <c r="E14" s="11">
        <v>8</v>
      </c>
    </row>
    <row r="15" spans="1:9" ht="16.75" customHeight="1">
      <c r="A15" s="6" t="s">
        <v>12</v>
      </c>
      <c r="B15" s="7" t="s">
        <v>4</v>
      </c>
      <c r="C15" s="1"/>
      <c r="D15" s="10">
        <v>4.0999999999999996</v>
      </c>
      <c r="E15" s="11">
        <v>4.43</v>
      </c>
    </row>
    <row r="16" spans="1:9" ht="16.75" customHeight="1">
      <c r="A16" s="6" t="s">
        <v>13</v>
      </c>
      <c r="B16" s="7" t="s">
        <v>14</v>
      </c>
      <c r="C16" s="1"/>
      <c r="D16" s="10">
        <v>3.5</v>
      </c>
      <c r="E16" s="11">
        <v>3.78</v>
      </c>
    </row>
    <row r="17" spans="1:9" ht="22.75" customHeight="1">
      <c r="A17" s="79" t="s">
        <v>15</v>
      </c>
      <c r="B17" s="79"/>
      <c r="C17" s="14"/>
      <c r="D17" s="8">
        <v>0.27</v>
      </c>
      <c r="E17" s="9">
        <v>0.28999999999999998</v>
      </c>
    </row>
    <row r="18" spans="1:9" ht="22.75" customHeight="1">
      <c r="A18" s="80" t="s">
        <v>16</v>
      </c>
      <c r="B18" s="80"/>
      <c r="C18" s="14"/>
      <c r="D18" s="10">
        <v>0.41</v>
      </c>
      <c r="E18" s="11">
        <v>0.44</v>
      </c>
    </row>
    <row r="19" spans="1:9" ht="28.5" customHeight="1">
      <c r="A19" s="16" t="s">
        <v>17</v>
      </c>
      <c r="B19" s="17" t="s">
        <v>4</v>
      </c>
      <c r="C19" s="14"/>
      <c r="D19" s="8">
        <v>0.05</v>
      </c>
      <c r="E19" s="9">
        <v>0.05</v>
      </c>
    </row>
    <row r="20" spans="1:9" ht="34.5" customHeight="1">
      <c r="A20" s="12" t="s">
        <v>18</v>
      </c>
      <c r="B20" s="13"/>
      <c r="C20" s="14"/>
      <c r="D20" s="13"/>
      <c r="E20" s="13"/>
    </row>
    <row r="21" spans="1:9" ht="16.75" customHeight="1">
      <c r="A21" s="6" t="s">
        <v>19</v>
      </c>
      <c r="B21" s="7" t="s">
        <v>20</v>
      </c>
      <c r="C21" s="1"/>
      <c r="D21" s="10">
        <v>9.4</v>
      </c>
      <c r="E21" s="11">
        <v>10.16</v>
      </c>
    </row>
    <row r="22" spans="1:9" ht="34.5" customHeight="1">
      <c r="A22" s="12" t="s">
        <v>21</v>
      </c>
      <c r="B22" s="13"/>
      <c r="C22" s="14"/>
      <c r="D22" s="13"/>
      <c r="E22" s="13"/>
    </row>
    <row r="23" spans="1:9" ht="16.75" customHeight="1">
      <c r="A23" s="6" t="s">
        <v>22</v>
      </c>
      <c r="B23" s="7" t="s">
        <v>4</v>
      </c>
      <c r="C23" s="1"/>
      <c r="D23" s="10">
        <v>2.2999999999999998</v>
      </c>
      <c r="E23" s="11">
        <v>2.4900000000000002</v>
      </c>
    </row>
    <row r="24" spans="1:9" ht="16.75" customHeight="1">
      <c r="A24" s="6" t="s">
        <v>23</v>
      </c>
      <c r="B24" s="7" t="s">
        <v>4</v>
      </c>
      <c r="C24" s="1"/>
      <c r="D24" s="18">
        <v>0.6</v>
      </c>
      <c r="E24" s="29">
        <v>0.65</v>
      </c>
    </row>
    <row r="25" spans="1:9" ht="34.5" customHeight="1">
      <c r="A25" s="12" t="s">
        <v>24</v>
      </c>
      <c r="B25" s="13"/>
      <c r="C25" s="14"/>
      <c r="D25" s="13"/>
      <c r="E25" s="13"/>
    </row>
    <row r="26" spans="1:9" ht="16.75" customHeight="1">
      <c r="A26" s="6" t="s">
        <v>3</v>
      </c>
      <c r="B26" s="7" t="s">
        <v>4</v>
      </c>
      <c r="C26" s="1"/>
      <c r="D26" s="10">
        <v>20.53</v>
      </c>
      <c r="E26" s="11">
        <v>22.19</v>
      </c>
      <c r="H26" s="21">
        <f>D8+D14+D17+D18+D19+D23+D24</f>
        <v>20.53</v>
      </c>
      <c r="I26" s="21"/>
    </row>
    <row r="27" spans="1:9" ht="16.75" customHeight="1">
      <c r="A27" s="6" t="s">
        <v>5</v>
      </c>
      <c r="B27" s="7" t="s">
        <v>4</v>
      </c>
      <c r="C27" s="1"/>
      <c r="D27" s="10">
        <v>16.829999999999998</v>
      </c>
      <c r="E27" s="11">
        <v>18.190000000000001</v>
      </c>
    </row>
    <row r="28" spans="1:9" ht="16.75" customHeight="1">
      <c r="A28" s="6" t="s">
        <v>6</v>
      </c>
      <c r="B28" s="7" t="s">
        <v>4</v>
      </c>
      <c r="C28" s="1"/>
      <c r="D28" s="10">
        <v>26.43</v>
      </c>
      <c r="E28" s="11">
        <v>28.57</v>
      </c>
    </row>
    <row r="29" spans="1:9" ht="16.75" customHeight="1">
      <c r="A29" s="6" t="s">
        <v>7</v>
      </c>
      <c r="B29" s="7" t="s">
        <v>4</v>
      </c>
      <c r="C29" s="1"/>
      <c r="D29" s="10">
        <v>20.23</v>
      </c>
      <c r="E29" s="11">
        <v>21.87</v>
      </c>
    </row>
    <row r="30" spans="1:9" ht="16.75" customHeight="1">
      <c r="A30" s="6" t="s">
        <v>9</v>
      </c>
      <c r="B30" s="7" t="s">
        <v>10</v>
      </c>
      <c r="C30" s="1"/>
      <c r="D30" s="10">
        <v>8</v>
      </c>
      <c r="E30" s="11">
        <v>8.65</v>
      </c>
    </row>
    <row r="31" spans="1:9" ht="16.75" customHeight="1">
      <c r="A31" s="6" t="s">
        <v>25</v>
      </c>
      <c r="B31" s="7" t="s">
        <v>20</v>
      </c>
      <c r="C31" s="1"/>
      <c r="D31" s="10">
        <v>9.4</v>
      </c>
      <c r="E31" s="11">
        <v>10.16</v>
      </c>
    </row>
  </sheetData>
  <mergeCells count="4">
    <mergeCell ref="A6:C6"/>
    <mergeCell ref="A17:B17"/>
    <mergeCell ref="A18:B18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0"/>
  <sheetViews>
    <sheetView topLeftCell="G1" zoomScale="198" zoomScaleNormal="198" workbookViewId="0">
      <selection activeCell="L8" sqref="L8"/>
    </sheetView>
  </sheetViews>
  <sheetFormatPr baseColWidth="10" defaultColWidth="34.59765625" defaultRowHeight="13"/>
  <cols>
    <col min="1" max="1" width="19.796875" customWidth="1"/>
    <col min="2" max="2" width="17.3984375" customWidth="1"/>
    <col min="3" max="3" width="11" customWidth="1"/>
    <col min="4" max="4" width="9.59765625" customWidth="1"/>
    <col min="5" max="5" width="21.3984375" customWidth="1"/>
    <col min="6" max="6" width="16.59765625" customWidth="1"/>
    <col min="7" max="7" width="7.59765625" customWidth="1"/>
    <col min="8" max="8" width="20.3984375" customWidth="1"/>
    <col min="9" max="9" width="14.3984375" customWidth="1"/>
    <col min="10" max="10" width="15.59765625" customWidth="1"/>
  </cols>
  <sheetData>
    <row r="1" spans="1:12">
      <c r="A1" s="19" t="s">
        <v>43</v>
      </c>
      <c r="B1" s="19" t="s">
        <v>44</v>
      </c>
    </row>
    <row r="2" spans="1:12">
      <c r="A2" s="27">
        <v>0</v>
      </c>
      <c r="B2" s="24" t="s">
        <v>45</v>
      </c>
      <c r="C2" s="23"/>
      <c r="G2" s="19" t="s">
        <v>64</v>
      </c>
    </row>
    <row r="3" spans="1:12">
      <c r="A3" s="28">
        <v>4.1666666666666664E-2</v>
      </c>
      <c r="B3" s="24" t="s">
        <v>45</v>
      </c>
      <c r="C3" s="23"/>
    </row>
    <row r="4" spans="1:12">
      <c r="A4" s="27">
        <v>8.3333333333333301E-2</v>
      </c>
      <c r="B4" s="24" t="s">
        <v>45</v>
      </c>
      <c r="C4" s="23"/>
    </row>
    <row r="5" spans="1:12">
      <c r="A5" s="28">
        <v>0.125</v>
      </c>
      <c r="B5" s="24" t="s">
        <v>45</v>
      </c>
      <c r="C5" s="23"/>
    </row>
    <row r="6" spans="1:12">
      <c r="A6" s="27">
        <v>0.16666666666666699</v>
      </c>
      <c r="B6" s="24" t="s">
        <v>45</v>
      </c>
      <c r="C6" s="23"/>
      <c r="E6" s="32" t="s">
        <v>56</v>
      </c>
      <c r="F6" s="30"/>
      <c r="G6" s="30"/>
      <c r="H6" s="30"/>
      <c r="I6" s="30"/>
      <c r="J6" s="82" t="s">
        <v>66</v>
      </c>
      <c r="K6" s="82"/>
    </row>
    <row r="7" spans="1:12">
      <c r="A7" s="28">
        <v>0.20833333333333301</v>
      </c>
      <c r="B7" s="24" t="s">
        <v>45</v>
      </c>
      <c r="C7" s="23"/>
      <c r="E7" s="30"/>
      <c r="F7" s="30"/>
      <c r="G7" s="30"/>
      <c r="H7" s="30" t="s">
        <v>53</v>
      </c>
      <c r="I7" s="30"/>
      <c r="J7" s="30" t="s">
        <v>53</v>
      </c>
      <c r="K7" s="30" t="s">
        <v>65</v>
      </c>
    </row>
    <row r="8" spans="1:12" ht="16" customHeight="1">
      <c r="A8" s="27">
        <v>0.25</v>
      </c>
      <c r="B8" s="24" t="s">
        <v>45</v>
      </c>
      <c r="C8" s="23"/>
      <c r="E8" s="33" t="s">
        <v>50</v>
      </c>
      <c r="F8" s="34" t="s">
        <v>54</v>
      </c>
      <c r="G8" s="35"/>
      <c r="H8" s="36">
        <v>0.20530000000000001</v>
      </c>
      <c r="I8" s="30"/>
      <c r="J8" s="30">
        <v>0.25929999999999997</v>
      </c>
      <c r="K8" s="30">
        <v>0.28299999999999997</v>
      </c>
      <c r="L8">
        <v>0.104</v>
      </c>
    </row>
    <row r="9" spans="1:12" ht="16" customHeight="1">
      <c r="A9" s="28">
        <v>0.29166666666666702</v>
      </c>
      <c r="B9" s="25" t="s">
        <v>46</v>
      </c>
      <c r="C9" s="23"/>
      <c r="E9" s="37" t="s">
        <v>57</v>
      </c>
      <c r="F9" s="34" t="s">
        <v>54</v>
      </c>
      <c r="G9" s="35"/>
      <c r="H9" s="36">
        <v>0.16830000000000001</v>
      </c>
      <c r="I9" s="30"/>
      <c r="J9" s="30">
        <v>0.25929999999999997</v>
      </c>
      <c r="K9" s="30">
        <v>0.28299999999999997</v>
      </c>
    </row>
    <row r="10" spans="1:12" ht="16" customHeight="1">
      <c r="A10" s="27">
        <v>0.33333333333333298</v>
      </c>
      <c r="B10" s="25" t="s">
        <v>46</v>
      </c>
      <c r="C10" s="23"/>
      <c r="E10" s="37" t="s">
        <v>58</v>
      </c>
      <c r="F10" s="34" t="s">
        <v>54</v>
      </c>
      <c r="G10" s="35"/>
      <c r="H10" s="36">
        <v>0.26429999999999998</v>
      </c>
      <c r="I10" s="30"/>
      <c r="J10" s="30">
        <v>0.25929999999999997</v>
      </c>
      <c r="K10" s="30">
        <v>0.28299999999999997</v>
      </c>
    </row>
    <row r="11" spans="1:12" ht="16" customHeight="1">
      <c r="A11" s="28">
        <v>0.375</v>
      </c>
      <c r="B11" s="25" t="s">
        <v>46</v>
      </c>
      <c r="C11" s="23"/>
      <c r="E11" s="37" t="s">
        <v>59</v>
      </c>
      <c r="F11" s="34" t="s">
        <v>54</v>
      </c>
      <c r="G11" s="35"/>
      <c r="H11" s="36">
        <v>0.20230000000000001</v>
      </c>
      <c r="I11" s="30"/>
      <c r="J11" s="30">
        <v>0.25929999999999997</v>
      </c>
      <c r="K11" s="30">
        <v>0.28299999999999997</v>
      </c>
    </row>
    <row r="12" spans="1:12" ht="16" customHeight="1">
      <c r="A12" s="27">
        <v>0.41666666666666702</v>
      </c>
      <c r="B12" s="25" t="s">
        <v>46</v>
      </c>
      <c r="C12" s="23"/>
      <c r="E12" s="37" t="s">
        <v>55</v>
      </c>
      <c r="F12" s="34" t="s">
        <v>54</v>
      </c>
      <c r="G12" s="35"/>
      <c r="H12" s="36">
        <v>0.06</v>
      </c>
      <c r="I12" s="30"/>
      <c r="J12" s="30"/>
      <c r="K12" s="30"/>
    </row>
    <row r="13" spans="1:12" ht="16" customHeight="1">
      <c r="A13" s="28">
        <v>0.45833333333333298</v>
      </c>
      <c r="B13" s="25" t="s">
        <v>46</v>
      </c>
      <c r="C13" s="23"/>
      <c r="E13" s="37" t="s">
        <v>60</v>
      </c>
      <c r="F13" s="38" t="s">
        <v>61</v>
      </c>
      <c r="G13" s="35"/>
      <c r="H13" s="36">
        <v>8</v>
      </c>
      <c r="I13" s="30"/>
      <c r="J13" s="30"/>
      <c r="K13" s="30"/>
    </row>
    <row r="14" spans="1:12" ht="16" customHeight="1">
      <c r="A14" s="27">
        <v>0.5</v>
      </c>
      <c r="B14" s="25" t="s">
        <v>46</v>
      </c>
      <c r="C14" s="23"/>
      <c r="E14" s="37" t="s">
        <v>62</v>
      </c>
      <c r="F14" s="38" t="s">
        <v>63</v>
      </c>
      <c r="G14" s="35"/>
      <c r="H14" s="36">
        <v>9.4</v>
      </c>
      <c r="I14" s="30"/>
      <c r="J14" s="30">
        <v>12.5</v>
      </c>
      <c r="K14" s="30">
        <v>13.51</v>
      </c>
    </row>
    <row r="15" spans="1:12" ht="28">
      <c r="A15" s="28">
        <v>0.54166666666666696</v>
      </c>
      <c r="B15" s="25" t="s">
        <v>46</v>
      </c>
      <c r="C15" s="23"/>
      <c r="E15" s="30" t="s">
        <v>52</v>
      </c>
      <c r="F15" s="31" t="s">
        <v>54</v>
      </c>
      <c r="G15" s="30"/>
      <c r="H15" s="31">
        <f>('Thal-Pro'!D17+'Thal-Pro'!D18+'Thal-Pro'!D19+'Thal-Pro'!D24)/100</f>
        <v>1.3300000000000001E-2</v>
      </c>
      <c r="I15" s="40" t="s">
        <v>67</v>
      </c>
      <c r="J15" s="30"/>
      <c r="K15" s="30"/>
    </row>
    <row r="16" spans="1:12">
      <c r="A16" s="27">
        <v>0.58333333333333304</v>
      </c>
      <c r="B16" s="25" t="s">
        <v>46</v>
      </c>
      <c r="C16" s="23"/>
      <c r="E16" s="30"/>
      <c r="F16" s="30"/>
      <c r="G16" s="30"/>
      <c r="H16" s="30"/>
      <c r="I16" s="30"/>
      <c r="J16" s="19"/>
      <c r="K16" s="19"/>
    </row>
    <row r="17" spans="1:11">
      <c r="A17" s="28">
        <v>0.625</v>
      </c>
      <c r="B17" s="25" t="s">
        <v>46</v>
      </c>
      <c r="C17" s="23"/>
      <c r="E17" s="30" t="s">
        <v>47</v>
      </c>
      <c r="F17" s="39">
        <v>45383</v>
      </c>
      <c r="G17" s="30"/>
      <c r="H17" s="39">
        <v>45565.958333333336</v>
      </c>
      <c r="I17" s="30"/>
      <c r="J17" s="19"/>
      <c r="K17" s="19"/>
    </row>
    <row r="18" spans="1:11">
      <c r="A18" s="27">
        <v>0.66666666666666696</v>
      </c>
      <c r="B18" s="25" t="s">
        <v>46</v>
      </c>
      <c r="C18" s="23"/>
      <c r="E18" s="30" t="s">
        <v>48</v>
      </c>
      <c r="F18" s="39">
        <v>45292</v>
      </c>
      <c r="G18" s="30"/>
      <c r="H18" s="39">
        <v>45382.958333333336</v>
      </c>
      <c r="I18" s="30"/>
      <c r="J18" s="19"/>
      <c r="K18" s="19"/>
    </row>
    <row r="19" spans="1:11">
      <c r="A19" s="28">
        <v>0.70833333333333304</v>
      </c>
      <c r="B19" s="25" t="s">
        <v>46</v>
      </c>
      <c r="C19" s="23"/>
      <c r="E19" s="30" t="s">
        <v>49</v>
      </c>
      <c r="F19" s="39">
        <v>45566</v>
      </c>
      <c r="G19" s="30"/>
      <c r="H19" s="39">
        <v>45657.958333333336</v>
      </c>
      <c r="I19" s="30"/>
      <c r="J19" s="19"/>
      <c r="K19" s="19"/>
    </row>
    <row r="20" spans="1:11">
      <c r="A20" s="27">
        <v>0.75</v>
      </c>
      <c r="B20" s="25" t="s">
        <v>46</v>
      </c>
      <c r="C20" s="23"/>
    </row>
    <row r="21" spans="1:11">
      <c r="A21" s="28">
        <v>0.79166666666666696</v>
      </c>
      <c r="B21" s="24" t="s">
        <v>45</v>
      </c>
      <c r="C21" s="23"/>
    </row>
    <row r="22" spans="1:11">
      <c r="A22" s="27">
        <v>0.83333333333333304</v>
      </c>
      <c r="B22" s="24" t="s">
        <v>45</v>
      </c>
      <c r="C22" s="23"/>
    </row>
    <row r="23" spans="1:11">
      <c r="A23" s="28">
        <v>0.875</v>
      </c>
      <c r="B23" s="24" t="s">
        <v>45</v>
      </c>
      <c r="C23" s="23"/>
    </row>
    <row r="24" spans="1:11">
      <c r="A24" s="27">
        <v>0.91666666666666696</v>
      </c>
      <c r="B24" s="24" t="s">
        <v>45</v>
      </c>
      <c r="C24" s="23"/>
    </row>
    <row r="25" spans="1:11">
      <c r="A25" s="28">
        <v>0.95833333333333304</v>
      </c>
      <c r="B25" s="24" t="s">
        <v>45</v>
      </c>
      <c r="C25" s="23" t="s">
        <v>36</v>
      </c>
    </row>
    <row r="26" spans="1:11">
      <c r="A26" s="27">
        <v>1</v>
      </c>
      <c r="B26" s="24" t="s">
        <v>45</v>
      </c>
      <c r="C26" s="23"/>
    </row>
    <row r="27" spans="1:11">
      <c r="A27" s="28">
        <v>1.0416666666666701</v>
      </c>
      <c r="B27" s="24" t="s">
        <v>45</v>
      </c>
      <c r="C27" s="23"/>
    </row>
    <row r="28" spans="1:11">
      <c r="A28" s="27">
        <v>1.0833333333333299</v>
      </c>
      <c r="B28" s="24" t="s">
        <v>45</v>
      </c>
      <c r="C28" s="23"/>
    </row>
    <row r="29" spans="1:11">
      <c r="A29" s="28">
        <v>1.125</v>
      </c>
      <c r="B29" s="24" t="s">
        <v>45</v>
      </c>
      <c r="C29" s="23"/>
    </row>
    <row r="30" spans="1:11">
      <c r="A30" s="27">
        <v>1.1666666666666701</v>
      </c>
      <c r="B30" s="24" t="s">
        <v>45</v>
      </c>
      <c r="C30" s="23"/>
    </row>
    <row r="31" spans="1:11">
      <c r="A31" s="28">
        <v>1.2083333333333299</v>
      </c>
      <c r="B31" s="24" t="s">
        <v>45</v>
      </c>
      <c r="C31" s="23"/>
    </row>
    <row r="32" spans="1:11">
      <c r="A32" s="27">
        <v>1.25</v>
      </c>
      <c r="B32" s="24" t="s">
        <v>45</v>
      </c>
      <c r="C32" s="23"/>
    </row>
    <row r="33" spans="1:3">
      <c r="A33" s="28">
        <v>1.2916666666666701</v>
      </c>
      <c r="B33" s="25" t="s">
        <v>46</v>
      </c>
      <c r="C33" s="23"/>
    </row>
    <row r="34" spans="1:3">
      <c r="A34" s="27">
        <v>1.3333333333333299</v>
      </c>
      <c r="B34" s="25" t="s">
        <v>46</v>
      </c>
      <c r="C34" s="23"/>
    </row>
    <row r="35" spans="1:3">
      <c r="A35" s="28">
        <v>1.375</v>
      </c>
      <c r="B35" s="25" t="s">
        <v>46</v>
      </c>
      <c r="C35" s="23"/>
    </row>
    <row r="36" spans="1:3">
      <c r="A36" s="27">
        <v>1.4166666666666701</v>
      </c>
      <c r="B36" s="25" t="s">
        <v>46</v>
      </c>
      <c r="C36" s="23"/>
    </row>
    <row r="37" spans="1:3">
      <c r="A37" s="28">
        <v>1.4583333333333299</v>
      </c>
      <c r="B37" s="25" t="s">
        <v>46</v>
      </c>
      <c r="C37" s="23"/>
    </row>
    <row r="38" spans="1:3">
      <c r="A38" s="27">
        <v>1.5</v>
      </c>
      <c r="B38" s="25" t="s">
        <v>46</v>
      </c>
      <c r="C38" s="23"/>
    </row>
    <row r="39" spans="1:3">
      <c r="A39" s="28">
        <v>1.5416666666666701</v>
      </c>
      <c r="B39" s="25" t="s">
        <v>46</v>
      </c>
      <c r="C39" s="23"/>
    </row>
    <row r="40" spans="1:3">
      <c r="A40" s="27">
        <v>1.5833333333333299</v>
      </c>
      <c r="B40" s="25" t="s">
        <v>46</v>
      </c>
      <c r="C40" s="23"/>
    </row>
    <row r="41" spans="1:3">
      <c r="A41" s="28">
        <v>1.625</v>
      </c>
      <c r="B41" s="25" t="s">
        <v>46</v>
      </c>
      <c r="C41" s="23"/>
    </row>
    <row r="42" spans="1:3">
      <c r="A42" s="27">
        <v>1.6666666666666701</v>
      </c>
      <c r="B42" s="25" t="s">
        <v>46</v>
      </c>
      <c r="C42" s="23"/>
    </row>
    <row r="43" spans="1:3">
      <c r="A43" s="28">
        <v>1.7083333333333299</v>
      </c>
      <c r="B43" s="25" t="s">
        <v>46</v>
      </c>
      <c r="C43" s="23"/>
    </row>
    <row r="44" spans="1:3">
      <c r="A44" s="27">
        <v>1.75</v>
      </c>
      <c r="B44" s="25" t="s">
        <v>46</v>
      </c>
      <c r="C44" s="23"/>
    </row>
    <row r="45" spans="1:3">
      <c r="A45" s="28">
        <v>1.7916666666666701</v>
      </c>
      <c r="B45" s="24" t="s">
        <v>45</v>
      </c>
      <c r="C45" s="23"/>
    </row>
    <row r="46" spans="1:3">
      <c r="A46" s="27">
        <v>1.8333333333333299</v>
      </c>
      <c r="B46" s="24" t="s">
        <v>45</v>
      </c>
      <c r="C46" s="23"/>
    </row>
    <row r="47" spans="1:3">
      <c r="A47" s="28">
        <v>1.875</v>
      </c>
      <c r="B47" s="24" t="s">
        <v>45</v>
      </c>
      <c r="C47" s="23"/>
    </row>
    <row r="48" spans="1:3">
      <c r="A48" s="27">
        <v>1.9166666666666701</v>
      </c>
      <c r="B48" s="24" t="s">
        <v>45</v>
      </c>
      <c r="C48" s="23"/>
    </row>
    <row r="49" spans="1:3">
      <c r="A49" s="28">
        <v>1.9583333333333299</v>
      </c>
      <c r="B49" s="24" t="s">
        <v>45</v>
      </c>
      <c r="C49" s="23" t="s">
        <v>37</v>
      </c>
    </row>
    <row r="50" spans="1:3">
      <c r="A50" s="27">
        <v>2</v>
      </c>
      <c r="B50" s="24" t="s">
        <v>45</v>
      </c>
      <c r="C50" s="23"/>
    </row>
    <row r="51" spans="1:3">
      <c r="A51" s="28">
        <v>2.0416666666666701</v>
      </c>
      <c r="B51" s="24" t="s">
        <v>45</v>
      </c>
      <c r="C51" s="23"/>
    </row>
    <row r="52" spans="1:3">
      <c r="A52" s="27">
        <v>2.0833333333333299</v>
      </c>
      <c r="B52" s="24" t="s">
        <v>45</v>
      </c>
      <c r="C52" s="23"/>
    </row>
    <row r="53" spans="1:3">
      <c r="A53" s="28">
        <v>2.125</v>
      </c>
      <c r="B53" s="24" t="s">
        <v>45</v>
      </c>
      <c r="C53" s="23"/>
    </row>
    <row r="54" spans="1:3">
      <c r="A54" s="27">
        <v>2.1666666666666701</v>
      </c>
      <c r="B54" s="24" t="s">
        <v>45</v>
      </c>
      <c r="C54" s="23"/>
    </row>
    <row r="55" spans="1:3">
      <c r="A55" s="28">
        <v>2.2083333333333299</v>
      </c>
      <c r="B55" s="24" t="s">
        <v>45</v>
      </c>
      <c r="C55" s="23"/>
    </row>
    <row r="56" spans="1:3">
      <c r="A56" s="27">
        <v>2.25</v>
      </c>
      <c r="B56" s="24" t="s">
        <v>45</v>
      </c>
      <c r="C56" s="23"/>
    </row>
    <row r="57" spans="1:3">
      <c r="A57" s="28">
        <v>2.2916666666666701</v>
      </c>
      <c r="B57" s="25" t="s">
        <v>46</v>
      </c>
      <c r="C57" s="23"/>
    </row>
    <row r="58" spans="1:3">
      <c r="A58" s="27">
        <v>2.3333333333333299</v>
      </c>
      <c r="B58" s="25" t="s">
        <v>46</v>
      </c>
      <c r="C58" s="23"/>
    </row>
    <row r="59" spans="1:3">
      <c r="A59" s="28">
        <v>2.375</v>
      </c>
      <c r="B59" s="25" t="s">
        <v>46</v>
      </c>
      <c r="C59" s="23"/>
    </row>
    <row r="60" spans="1:3">
      <c r="A60" s="27">
        <v>2.4166666666666701</v>
      </c>
      <c r="B60" s="25" t="s">
        <v>46</v>
      </c>
      <c r="C60" s="23"/>
    </row>
    <row r="61" spans="1:3">
      <c r="A61" s="28">
        <v>2.4583333333333299</v>
      </c>
      <c r="B61" s="25" t="s">
        <v>46</v>
      </c>
      <c r="C61" s="23"/>
    </row>
    <row r="62" spans="1:3">
      <c r="A62" s="27">
        <v>2.5</v>
      </c>
      <c r="B62" s="25" t="s">
        <v>46</v>
      </c>
      <c r="C62" s="23"/>
    </row>
    <row r="63" spans="1:3">
      <c r="A63" s="28">
        <v>2.5416666666666701</v>
      </c>
      <c r="B63" s="25" t="s">
        <v>46</v>
      </c>
      <c r="C63" s="23"/>
    </row>
    <row r="64" spans="1:3">
      <c r="A64" s="27">
        <v>2.5833333333333299</v>
      </c>
      <c r="B64" s="25" t="s">
        <v>46</v>
      </c>
      <c r="C64" s="23"/>
    </row>
    <row r="65" spans="1:3">
      <c r="A65" s="28">
        <v>2.625</v>
      </c>
      <c r="B65" s="25" t="s">
        <v>46</v>
      </c>
      <c r="C65" s="23"/>
    </row>
    <row r="66" spans="1:3">
      <c r="A66" s="27">
        <v>2.6666666666666701</v>
      </c>
      <c r="B66" s="25" t="s">
        <v>46</v>
      </c>
      <c r="C66" s="23"/>
    </row>
    <row r="67" spans="1:3">
      <c r="A67" s="28">
        <v>2.7083333333333299</v>
      </c>
      <c r="B67" s="25" t="s">
        <v>46</v>
      </c>
      <c r="C67" s="23"/>
    </row>
    <row r="68" spans="1:3">
      <c r="A68" s="27">
        <v>2.75</v>
      </c>
      <c r="B68" s="25" t="s">
        <v>46</v>
      </c>
      <c r="C68" s="23"/>
    </row>
    <row r="69" spans="1:3">
      <c r="A69" s="28">
        <v>2.7916666666666701</v>
      </c>
      <c r="B69" s="24" t="s">
        <v>45</v>
      </c>
      <c r="C69" s="23"/>
    </row>
    <row r="70" spans="1:3">
      <c r="A70" s="27">
        <v>2.8333333333333299</v>
      </c>
      <c r="B70" s="24" t="s">
        <v>45</v>
      </c>
      <c r="C70" s="23"/>
    </row>
    <row r="71" spans="1:3">
      <c r="A71" s="28">
        <v>2.875</v>
      </c>
      <c r="B71" s="24" t="s">
        <v>45</v>
      </c>
      <c r="C71" s="23"/>
    </row>
    <row r="72" spans="1:3">
      <c r="A72" s="27">
        <v>2.9166666666666701</v>
      </c>
      <c r="B72" s="24" t="s">
        <v>45</v>
      </c>
      <c r="C72" s="23"/>
    </row>
    <row r="73" spans="1:3">
      <c r="A73" s="28">
        <v>2.9583333333333299</v>
      </c>
      <c r="B73" s="24" t="s">
        <v>45</v>
      </c>
      <c r="C73" s="23" t="s">
        <v>38</v>
      </c>
    </row>
    <row r="74" spans="1:3">
      <c r="A74" s="27">
        <v>3</v>
      </c>
      <c r="B74" s="24" t="s">
        <v>45</v>
      </c>
      <c r="C74" s="23"/>
    </row>
    <row r="75" spans="1:3">
      <c r="A75" s="28">
        <v>3.0416666666666701</v>
      </c>
      <c r="B75" s="24" t="s">
        <v>45</v>
      </c>
      <c r="C75" s="23"/>
    </row>
    <row r="76" spans="1:3" ht="13" customHeight="1">
      <c r="A76" s="27">
        <v>3.0833333333333299</v>
      </c>
      <c r="B76" s="24" t="s">
        <v>45</v>
      </c>
      <c r="C76" s="23"/>
    </row>
    <row r="77" spans="1:3">
      <c r="A77" s="28">
        <v>3.125</v>
      </c>
      <c r="B77" s="24" t="s">
        <v>45</v>
      </c>
      <c r="C77" s="23"/>
    </row>
    <row r="78" spans="1:3">
      <c r="A78" s="27">
        <v>3.1666666666666701</v>
      </c>
      <c r="B78" s="24" t="s">
        <v>45</v>
      </c>
      <c r="C78" s="23"/>
    </row>
    <row r="79" spans="1:3">
      <c r="A79" s="28">
        <v>3.2083333333333299</v>
      </c>
      <c r="B79" s="24" t="s">
        <v>45</v>
      </c>
      <c r="C79" s="23"/>
    </row>
    <row r="80" spans="1:3">
      <c r="A80" s="27">
        <v>3.25</v>
      </c>
      <c r="B80" s="24" t="s">
        <v>45</v>
      </c>
      <c r="C80" s="23"/>
    </row>
    <row r="81" spans="1:3">
      <c r="A81" s="28">
        <v>3.2916666666666701</v>
      </c>
      <c r="B81" s="25" t="s">
        <v>46</v>
      </c>
      <c r="C81" s="23"/>
    </row>
    <row r="82" spans="1:3">
      <c r="A82" s="27">
        <v>3.3333333333333299</v>
      </c>
      <c r="B82" s="25" t="s">
        <v>46</v>
      </c>
      <c r="C82" s="23"/>
    </row>
    <row r="83" spans="1:3">
      <c r="A83" s="28">
        <v>3.375</v>
      </c>
      <c r="B83" s="25" t="s">
        <v>46</v>
      </c>
      <c r="C83" s="23"/>
    </row>
    <row r="84" spans="1:3">
      <c r="A84" s="27">
        <v>3.4166666666666701</v>
      </c>
      <c r="B84" s="25" t="s">
        <v>46</v>
      </c>
      <c r="C84" s="23"/>
    </row>
    <row r="85" spans="1:3">
      <c r="A85" s="28">
        <v>3.4583333333333299</v>
      </c>
      <c r="B85" s="25" t="s">
        <v>46</v>
      </c>
      <c r="C85" s="23"/>
    </row>
    <row r="86" spans="1:3">
      <c r="A86" s="27">
        <v>3.5</v>
      </c>
      <c r="B86" s="25" t="s">
        <v>46</v>
      </c>
      <c r="C86" s="23"/>
    </row>
    <row r="87" spans="1:3">
      <c r="A87" s="28">
        <v>3.5416666666666701</v>
      </c>
      <c r="B87" s="25" t="s">
        <v>46</v>
      </c>
      <c r="C87" s="23"/>
    </row>
    <row r="88" spans="1:3">
      <c r="A88" s="27">
        <v>3.5833333333333299</v>
      </c>
      <c r="B88" s="25" t="s">
        <v>46</v>
      </c>
      <c r="C88" s="23"/>
    </row>
    <row r="89" spans="1:3">
      <c r="A89" s="28">
        <v>3.625</v>
      </c>
      <c r="B89" s="25" t="s">
        <v>46</v>
      </c>
      <c r="C89" s="23"/>
    </row>
    <row r="90" spans="1:3">
      <c r="A90" s="27">
        <v>3.6666666666666701</v>
      </c>
      <c r="B90" s="25" t="s">
        <v>46</v>
      </c>
      <c r="C90" s="23"/>
    </row>
    <row r="91" spans="1:3">
      <c r="A91" s="28">
        <v>3.7083333333333299</v>
      </c>
      <c r="B91" s="25" t="s">
        <v>46</v>
      </c>
      <c r="C91" s="23"/>
    </row>
    <row r="92" spans="1:3">
      <c r="A92" s="27">
        <v>3.75</v>
      </c>
      <c r="B92" s="25" t="s">
        <v>46</v>
      </c>
      <c r="C92" s="23"/>
    </row>
    <row r="93" spans="1:3">
      <c r="A93" s="28">
        <v>3.7916666666666701</v>
      </c>
      <c r="B93" s="24" t="s">
        <v>45</v>
      </c>
      <c r="C93" s="23"/>
    </row>
    <row r="94" spans="1:3">
      <c r="A94" s="27">
        <v>3.8333333333333299</v>
      </c>
      <c r="B94" s="24" t="s">
        <v>45</v>
      </c>
      <c r="C94" s="23"/>
    </row>
    <row r="95" spans="1:3">
      <c r="A95" s="28">
        <v>3.875</v>
      </c>
      <c r="B95" s="24" t="s">
        <v>45</v>
      </c>
      <c r="C95" s="23"/>
    </row>
    <row r="96" spans="1:3">
      <c r="A96" s="27">
        <v>3.9166666666666701</v>
      </c>
      <c r="B96" s="24" t="s">
        <v>45</v>
      </c>
      <c r="C96" s="23"/>
    </row>
    <row r="97" spans="1:3">
      <c r="A97" s="28">
        <v>3.9583333333333299</v>
      </c>
      <c r="B97" s="24" t="s">
        <v>45</v>
      </c>
      <c r="C97" s="23" t="s">
        <v>39</v>
      </c>
    </row>
    <row r="98" spans="1:3">
      <c r="A98" s="27">
        <v>4</v>
      </c>
      <c r="B98" s="24" t="s">
        <v>45</v>
      </c>
      <c r="C98" s="23"/>
    </row>
    <row r="99" spans="1:3">
      <c r="A99" s="28">
        <v>4.0416666666666696</v>
      </c>
      <c r="B99" s="24" t="s">
        <v>45</v>
      </c>
      <c r="C99" s="23"/>
    </row>
    <row r="100" spans="1:3">
      <c r="A100" s="27">
        <v>4.0833333333333304</v>
      </c>
      <c r="B100" s="24" t="s">
        <v>45</v>
      </c>
      <c r="C100" s="23"/>
    </row>
    <row r="101" spans="1:3">
      <c r="A101" s="28">
        <v>4.125</v>
      </c>
      <c r="B101" s="24" t="s">
        <v>45</v>
      </c>
      <c r="C101" s="23"/>
    </row>
    <row r="102" spans="1:3">
      <c r="A102" s="27">
        <v>4.1666666666666696</v>
      </c>
      <c r="B102" s="24" t="s">
        <v>45</v>
      </c>
      <c r="C102" s="23"/>
    </row>
    <row r="103" spans="1:3">
      <c r="A103" s="28">
        <v>4.2083333333333304</v>
      </c>
      <c r="B103" s="24" t="s">
        <v>45</v>
      </c>
      <c r="C103" s="23"/>
    </row>
    <row r="104" spans="1:3">
      <c r="A104" s="27">
        <v>4.25</v>
      </c>
      <c r="B104" s="24" t="s">
        <v>45</v>
      </c>
      <c r="C104" s="23"/>
    </row>
    <row r="105" spans="1:3">
      <c r="A105" s="28">
        <v>4.2916666666666696</v>
      </c>
      <c r="B105" s="25" t="s">
        <v>46</v>
      </c>
      <c r="C105" s="23"/>
    </row>
    <row r="106" spans="1:3">
      <c r="A106" s="27">
        <v>4.3333333333333304</v>
      </c>
      <c r="B106" s="25" t="s">
        <v>46</v>
      </c>
      <c r="C106" s="23"/>
    </row>
    <row r="107" spans="1:3">
      <c r="A107" s="28">
        <v>4.375</v>
      </c>
      <c r="B107" s="25" t="s">
        <v>46</v>
      </c>
      <c r="C107" s="23"/>
    </row>
    <row r="108" spans="1:3">
      <c r="A108" s="27">
        <v>4.4166666666666696</v>
      </c>
      <c r="B108" s="25" t="s">
        <v>46</v>
      </c>
      <c r="C108" s="23"/>
    </row>
    <row r="109" spans="1:3">
      <c r="A109" s="28">
        <v>4.4583333333333304</v>
      </c>
      <c r="B109" s="25" t="s">
        <v>46</v>
      </c>
      <c r="C109" s="23"/>
    </row>
    <row r="110" spans="1:3">
      <c r="A110" s="27">
        <v>4.5</v>
      </c>
      <c r="B110" s="25" t="s">
        <v>46</v>
      </c>
      <c r="C110" s="23"/>
    </row>
    <row r="111" spans="1:3">
      <c r="A111" s="28">
        <v>4.5416666666666696</v>
      </c>
      <c r="B111" s="25" t="s">
        <v>46</v>
      </c>
      <c r="C111" s="23"/>
    </row>
    <row r="112" spans="1:3">
      <c r="A112" s="27">
        <v>4.5833333333333304</v>
      </c>
      <c r="B112" s="25" t="s">
        <v>46</v>
      </c>
      <c r="C112" s="23"/>
    </row>
    <row r="113" spans="1:3">
      <c r="A113" s="28">
        <v>4.625</v>
      </c>
      <c r="B113" s="25" t="s">
        <v>46</v>
      </c>
      <c r="C113" s="23"/>
    </row>
    <row r="114" spans="1:3">
      <c r="A114" s="27">
        <v>4.6666666666666696</v>
      </c>
      <c r="B114" s="25" t="s">
        <v>46</v>
      </c>
      <c r="C114" s="23"/>
    </row>
    <row r="115" spans="1:3">
      <c r="A115" s="28">
        <v>4.7083333333333304</v>
      </c>
      <c r="B115" s="25" t="s">
        <v>46</v>
      </c>
      <c r="C115" s="23"/>
    </row>
    <row r="116" spans="1:3">
      <c r="A116" s="27">
        <v>4.75</v>
      </c>
      <c r="B116" s="25" t="s">
        <v>46</v>
      </c>
      <c r="C116" s="23"/>
    </row>
    <row r="117" spans="1:3">
      <c r="A117" s="28">
        <v>4.7916666666666696</v>
      </c>
      <c r="B117" s="24" t="s">
        <v>45</v>
      </c>
      <c r="C117" s="23"/>
    </row>
    <row r="118" spans="1:3">
      <c r="A118" s="27">
        <v>4.8333333333333304</v>
      </c>
      <c r="B118" s="24" t="s">
        <v>45</v>
      </c>
      <c r="C118" s="23"/>
    </row>
    <row r="119" spans="1:3">
      <c r="A119" s="28">
        <v>4.875</v>
      </c>
      <c r="B119" s="24" t="s">
        <v>45</v>
      </c>
      <c r="C119" s="23"/>
    </row>
    <row r="120" spans="1:3">
      <c r="A120" s="27">
        <v>4.9166666666666696</v>
      </c>
      <c r="B120" s="24" t="s">
        <v>45</v>
      </c>
      <c r="C120" s="23"/>
    </row>
    <row r="121" spans="1:3">
      <c r="A121" s="28">
        <v>4.9583333333333304</v>
      </c>
      <c r="B121" s="24" t="s">
        <v>45</v>
      </c>
      <c r="C121" s="23" t="s">
        <v>40</v>
      </c>
    </row>
    <row r="122" spans="1:3">
      <c r="A122" s="27">
        <v>5</v>
      </c>
      <c r="B122" s="24" t="s">
        <v>45</v>
      </c>
      <c r="C122" s="23"/>
    </row>
    <row r="123" spans="1:3">
      <c r="A123" s="28">
        <v>5.0416666666666696</v>
      </c>
      <c r="B123" s="24" t="s">
        <v>45</v>
      </c>
      <c r="C123" s="23"/>
    </row>
    <row r="124" spans="1:3">
      <c r="A124" s="27">
        <v>5.0833333333333304</v>
      </c>
      <c r="B124" s="24" t="s">
        <v>45</v>
      </c>
      <c r="C124" s="23"/>
    </row>
    <row r="125" spans="1:3">
      <c r="A125" s="28">
        <v>5.125</v>
      </c>
      <c r="B125" s="24" t="s">
        <v>45</v>
      </c>
      <c r="C125" s="23"/>
    </row>
    <row r="126" spans="1:3">
      <c r="A126" s="27">
        <v>5.1666666666666696</v>
      </c>
      <c r="B126" s="24" t="s">
        <v>45</v>
      </c>
      <c r="C126" s="23"/>
    </row>
    <row r="127" spans="1:3">
      <c r="A127" s="28">
        <v>5.2083333333333304</v>
      </c>
      <c r="B127" s="24" t="s">
        <v>45</v>
      </c>
      <c r="C127" s="23"/>
    </row>
    <row r="128" spans="1:3">
      <c r="A128" s="27">
        <v>5.25</v>
      </c>
      <c r="B128" s="24" t="s">
        <v>45</v>
      </c>
      <c r="C128" s="23"/>
    </row>
    <row r="129" spans="1:3">
      <c r="A129" s="28">
        <v>5.2916666666666696</v>
      </c>
      <c r="B129" s="24" t="s">
        <v>45</v>
      </c>
      <c r="C129" s="23"/>
    </row>
    <row r="130" spans="1:3">
      <c r="A130" s="27">
        <v>5.3333333333333304</v>
      </c>
      <c r="B130" s="24" t="s">
        <v>45</v>
      </c>
      <c r="C130" s="23"/>
    </row>
    <row r="131" spans="1:3">
      <c r="A131" s="27">
        <v>5.3750000000000098</v>
      </c>
      <c r="B131" s="24" t="s">
        <v>45</v>
      </c>
      <c r="C131" s="23"/>
    </row>
    <row r="132" spans="1:3">
      <c r="A132" s="28">
        <v>5.4166666666666803</v>
      </c>
      <c r="B132" s="24" t="s">
        <v>45</v>
      </c>
      <c r="C132" s="23"/>
    </row>
    <row r="133" spans="1:3">
      <c r="A133" s="27">
        <v>5.4583333333333499</v>
      </c>
      <c r="B133" s="24" t="s">
        <v>45</v>
      </c>
      <c r="C133" s="23"/>
    </row>
    <row r="134" spans="1:3">
      <c r="A134" s="27">
        <v>5.5000000000000204</v>
      </c>
      <c r="B134" s="24" t="s">
        <v>45</v>
      </c>
      <c r="C134" s="23"/>
    </row>
    <row r="135" spans="1:3">
      <c r="A135" s="28">
        <v>5.5416666666666901</v>
      </c>
      <c r="B135" s="24" t="s">
        <v>45</v>
      </c>
      <c r="C135" s="23"/>
    </row>
    <row r="136" spans="1:3">
      <c r="A136" s="27">
        <v>5.5833333333333597</v>
      </c>
      <c r="B136" s="24" t="s">
        <v>45</v>
      </c>
      <c r="C136" s="23"/>
    </row>
    <row r="137" spans="1:3">
      <c r="A137" s="27">
        <v>5.6250000000000302</v>
      </c>
      <c r="B137" s="24" t="s">
        <v>45</v>
      </c>
      <c r="C137" s="23"/>
    </row>
    <row r="138" spans="1:3">
      <c r="A138" s="28">
        <v>5.6666666666666998</v>
      </c>
      <c r="B138" s="24" t="s">
        <v>45</v>
      </c>
      <c r="C138" s="23"/>
    </row>
    <row r="139" spans="1:3">
      <c r="A139" s="27">
        <v>5.7083333333333703</v>
      </c>
      <c r="B139" s="24" t="s">
        <v>45</v>
      </c>
      <c r="C139" s="23"/>
    </row>
    <row r="140" spans="1:3">
      <c r="A140" s="27">
        <v>5.75000000000004</v>
      </c>
      <c r="B140" s="24" t="s">
        <v>45</v>
      </c>
      <c r="C140" s="23"/>
    </row>
    <row r="141" spans="1:3">
      <c r="A141" s="28">
        <v>5.7916666666667096</v>
      </c>
      <c r="B141" s="24" t="s">
        <v>45</v>
      </c>
      <c r="C141" s="23"/>
    </row>
    <row r="142" spans="1:3">
      <c r="A142" s="27">
        <v>5.8333333333333703</v>
      </c>
      <c r="B142" s="24" t="s">
        <v>45</v>
      </c>
      <c r="C142" s="23"/>
    </row>
    <row r="143" spans="1:3">
      <c r="A143" s="28">
        <v>5.87500000000004</v>
      </c>
      <c r="B143" s="24" t="s">
        <v>45</v>
      </c>
      <c r="C143" s="23"/>
    </row>
    <row r="144" spans="1:3">
      <c r="A144" s="27">
        <v>5.9166666666667096</v>
      </c>
      <c r="B144" s="24" t="s">
        <v>45</v>
      </c>
      <c r="C144" s="23"/>
    </row>
    <row r="145" spans="1:3">
      <c r="A145" s="27">
        <v>5.9583333333333801</v>
      </c>
      <c r="B145" s="24" t="s">
        <v>45</v>
      </c>
      <c r="C145" s="23"/>
    </row>
    <row r="146" spans="1:3">
      <c r="A146" s="28">
        <v>6.0000000000000497</v>
      </c>
      <c r="B146" s="24" t="s">
        <v>45</v>
      </c>
      <c r="C146" s="23" t="s">
        <v>41</v>
      </c>
    </row>
    <row r="147" spans="1:3">
      <c r="A147" s="27">
        <v>6.0416666666667203</v>
      </c>
      <c r="B147" s="24" t="s">
        <v>45</v>
      </c>
      <c r="C147" s="23"/>
    </row>
    <row r="148" spans="1:3">
      <c r="A148" s="27">
        <v>6.0833333333333899</v>
      </c>
      <c r="B148" s="24" t="s">
        <v>45</v>
      </c>
      <c r="C148" s="23"/>
    </row>
    <row r="149" spans="1:3">
      <c r="A149" s="28">
        <v>6.1250000000000604</v>
      </c>
      <c r="B149" s="24" t="s">
        <v>45</v>
      </c>
      <c r="C149" s="23"/>
    </row>
    <row r="150" spans="1:3">
      <c r="A150" s="27">
        <v>6.16666666666673</v>
      </c>
      <c r="B150" s="24" t="s">
        <v>45</v>
      </c>
      <c r="C150" s="23"/>
    </row>
    <row r="151" spans="1:3">
      <c r="A151" s="27">
        <v>6.2083333333333997</v>
      </c>
      <c r="B151" s="24" t="s">
        <v>45</v>
      </c>
      <c r="C151" s="23"/>
    </row>
    <row r="152" spans="1:3">
      <c r="A152" s="28">
        <v>6.2500000000000702</v>
      </c>
      <c r="B152" s="24" t="s">
        <v>45</v>
      </c>
      <c r="C152" s="23"/>
    </row>
    <row r="153" spans="1:3">
      <c r="A153" s="27">
        <v>6.2916666666667398</v>
      </c>
      <c r="B153" s="24" t="s">
        <v>45</v>
      </c>
      <c r="C153" s="23"/>
    </row>
    <row r="154" spans="1:3">
      <c r="A154" s="27">
        <v>6.3333333333334103</v>
      </c>
      <c r="B154" s="24" t="s">
        <v>45</v>
      </c>
      <c r="C154" s="23"/>
    </row>
    <row r="155" spans="1:3">
      <c r="A155" s="27">
        <v>6.3750000000000799</v>
      </c>
      <c r="B155" s="24" t="s">
        <v>45</v>
      </c>
      <c r="C155" s="23"/>
    </row>
    <row r="156" spans="1:3">
      <c r="A156" s="28">
        <v>6.4166666666667496</v>
      </c>
      <c r="B156" s="24" t="s">
        <v>45</v>
      </c>
      <c r="C156" s="23"/>
    </row>
    <row r="157" spans="1:3">
      <c r="A157" s="27">
        <v>6.4583333333334201</v>
      </c>
      <c r="B157" s="24" t="s">
        <v>45</v>
      </c>
      <c r="C157" s="23"/>
    </row>
    <row r="158" spans="1:3">
      <c r="A158" s="27">
        <v>6.5000000000000897</v>
      </c>
      <c r="B158" s="24" t="s">
        <v>45</v>
      </c>
      <c r="C158" s="23"/>
    </row>
    <row r="159" spans="1:3">
      <c r="A159" s="28">
        <v>6.5416666666667602</v>
      </c>
      <c r="B159" s="24" t="s">
        <v>45</v>
      </c>
      <c r="C159" s="23"/>
    </row>
    <row r="160" spans="1:3">
      <c r="A160" s="27">
        <v>6.5833333333334298</v>
      </c>
      <c r="B160" s="24" t="s">
        <v>45</v>
      </c>
      <c r="C160" s="23"/>
    </row>
    <row r="161" spans="1:3">
      <c r="A161" s="27">
        <v>6.6250000000001004</v>
      </c>
      <c r="B161" s="24" t="s">
        <v>45</v>
      </c>
      <c r="C161" s="23"/>
    </row>
    <row r="162" spans="1:3">
      <c r="A162" s="28">
        <v>6.66666666666677</v>
      </c>
      <c r="B162" s="24" t="s">
        <v>45</v>
      </c>
      <c r="C162" s="23"/>
    </row>
    <row r="163" spans="1:3">
      <c r="A163" s="27">
        <v>6.7083333333334396</v>
      </c>
      <c r="B163" s="24" t="s">
        <v>45</v>
      </c>
      <c r="C163" s="23"/>
    </row>
    <row r="164" spans="1:3">
      <c r="A164" s="27">
        <v>6.7500000000001101</v>
      </c>
      <c r="B164" s="24" t="s">
        <v>45</v>
      </c>
      <c r="C164" s="23"/>
    </row>
    <row r="165" spans="1:3">
      <c r="A165" s="28">
        <v>6.7916666666667798</v>
      </c>
      <c r="B165" s="24" t="s">
        <v>45</v>
      </c>
      <c r="C165" s="23"/>
    </row>
    <row r="166" spans="1:3">
      <c r="A166" s="27">
        <v>6.8333333333334503</v>
      </c>
      <c r="B166" s="24" t="s">
        <v>45</v>
      </c>
      <c r="C166" s="23"/>
    </row>
    <row r="167" spans="1:3">
      <c r="A167" s="27">
        <v>6.8750000000001199</v>
      </c>
      <c r="B167" s="24" t="s">
        <v>45</v>
      </c>
      <c r="C167" s="23"/>
    </row>
    <row r="168" spans="1:3">
      <c r="A168" s="28">
        <v>6.9166666666667904</v>
      </c>
      <c r="B168" s="24" t="s">
        <v>45</v>
      </c>
      <c r="C168" s="23"/>
    </row>
    <row r="169" spans="1:3">
      <c r="A169" s="27">
        <v>6.9583333333334503</v>
      </c>
      <c r="B169" s="24" t="s">
        <v>45</v>
      </c>
      <c r="C169" s="23" t="s">
        <v>42</v>
      </c>
    </row>
    <row r="170" spans="1:3">
      <c r="A170" s="26"/>
    </row>
  </sheetData>
  <mergeCells count="1">
    <mergeCell ref="J6:K6"/>
  </mergeCells>
  <phoneticPr fontId="13" type="noConversion"/>
  <dataValidations count="1">
    <dataValidation allowBlank="1" showInputMessage="1" showErrorMessage="1" promptTitle="Haushalt 1" sqref="B2:B169" xr:uid="{0EC590D5-F5DD-A64D-AA7C-C332422CDB0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DC3D-2A89-5E45-A7B1-3C44FED54810}">
  <dimension ref="A1:M36"/>
  <sheetViews>
    <sheetView topLeftCell="A8" zoomScale="117" zoomScaleNormal="117" workbookViewId="0">
      <selection activeCell="H31" sqref="H31"/>
    </sheetView>
  </sheetViews>
  <sheetFormatPr baseColWidth="10" defaultColWidth="9" defaultRowHeight="13"/>
  <cols>
    <col min="1" max="1" width="1.19921875" style="47" customWidth="1"/>
    <col min="2" max="2" width="25.59765625" style="47" customWidth="1"/>
    <col min="3" max="3" width="16.19921875" style="47" customWidth="1"/>
    <col min="4" max="4" width="4.59765625" style="47" customWidth="1"/>
    <col min="5" max="5" width="10" style="47" customWidth="1"/>
    <col min="6" max="6" width="10.59765625" style="47" customWidth="1"/>
    <col min="7" max="7" width="2.19921875" style="47" customWidth="1"/>
    <col min="8" max="8" width="15.19921875" style="47" customWidth="1"/>
    <col min="9" max="9" width="10.3984375" style="47" customWidth="1"/>
    <col min="10" max="10" width="9.3984375" style="47" customWidth="1"/>
    <col min="11" max="11" width="5.796875" style="47" customWidth="1"/>
    <col min="12" max="12" width="14" style="47" customWidth="1"/>
    <col min="13" max="13" width="11.59765625" style="47" customWidth="1"/>
    <col min="14" max="16384" width="9" style="47"/>
  </cols>
  <sheetData>
    <row r="1" spans="1:13" ht="54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49"/>
    </row>
    <row r="2" spans="1:13" ht="90" customHeight="1">
      <c r="A2" s="83" t="s">
        <v>98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1:13" ht="36.5" customHeight="1">
      <c r="A3" s="84" t="s">
        <v>97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13" ht="40.5" customHeight="1">
      <c r="A4" s="85" t="s">
        <v>96</v>
      </c>
      <c r="B4" s="85"/>
      <c r="C4" s="85"/>
      <c r="D4" s="85"/>
      <c r="E4" s="85"/>
      <c r="F4" s="85"/>
      <c r="G4" s="85"/>
      <c r="H4" s="85"/>
      <c r="I4" s="86" t="s">
        <v>95</v>
      </c>
      <c r="J4" s="86"/>
      <c r="K4" s="86" t="s">
        <v>94</v>
      </c>
      <c r="L4" s="86"/>
      <c r="M4" s="49"/>
    </row>
    <row r="5" spans="1:13" ht="20" customHeight="1">
      <c r="A5" s="87" t="s">
        <v>93</v>
      </c>
      <c r="B5" s="87"/>
      <c r="C5" s="87"/>
      <c r="D5" s="87"/>
      <c r="E5" s="87" t="s">
        <v>89</v>
      </c>
      <c r="F5" s="87"/>
      <c r="G5" s="87"/>
      <c r="H5" s="87"/>
      <c r="I5" s="88">
        <v>5.5</v>
      </c>
      <c r="J5" s="88"/>
      <c r="K5" s="88">
        <v>5.95</v>
      </c>
      <c r="L5" s="88"/>
      <c r="M5" s="48"/>
    </row>
    <row r="6" spans="1:13" ht="21" customHeight="1">
      <c r="A6" s="89" t="s">
        <v>92</v>
      </c>
      <c r="B6" s="89"/>
      <c r="C6" s="89"/>
      <c r="D6" s="89"/>
      <c r="E6" s="89" t="s">
        <v>91</v>
      </c>
      <c r="F6" s="89"/>
      <c r="G6" s="89"/>
      <c r="H6" s="89"/>
      <c r="I6" s="90">
        <v>26.43</v>
      </c>
      <c r="J6" s="90"/>
      <c r="K6" s="90">
        <v>28.57</v>
      </c>
      <c r="L6" s="90"/>
      <c r="M6" s="48"/>
    </row>
    <row r="7" spans="1:13" ht="21" customHeight="1">
      <c r="A7" s="89" t="s">
        <v>90</v>
      </c>
      <c r="B7" s="89"/>
      <c r="C7" s="89"/>
      <c r="D7" s="89"/>
      <c r="E7" s="89" t="s">
        <v>89</v>
      </c>
      <c r="F7" s="89"/>
      <c r="G7" s="89"/>
      <c r="H7" s="89"/>
      <c r="I7" s="91">
        <v>7.5</v>
      </c>
      <c r="J7" s="91"/>
      <c r="K7" s="91">
        <v>8.11</v>
      </c>
      <c r="L7" s="91"/>
      <c r="M7" s="48"/>
    </row>
    <row r="8" spans="1:13" ht="19.75" customHeight="1">
      <c r="A8" s="89" t="s">
        <v>88</v>
      </c>
      <c r="B8" s="89"/>
      <c r="C8" s="89"/>
      <c r="D8" s="89"/>
      <c r="E8" s="89" t="s">
        <v>87</v>
      </c>
      <c r="F8" s="89"/>
      <c r="G8" s="89"/>
      <c r="H8" s="89"/>
      <c r="I8" s="91">
        <v>9.3000000000000007</v>
      </c>
      <c r="J8" s="91"/>
      <c r="K8" s="90">
        <v>10.050000000000001</v>
      </c>
      <c r="L8" s="90"/>
      <c r="M8" s="48"/>
    </row>
    <row r="9" spans="1:13" ht="14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</row>
    <row r="10" spans="1:13" ht="27" customHeight="1">
      <c r="A10" s="92" t="s">
        <v>86</v>
      </c>
      <c r="B10" s="92"/>
      <c r="C10" s="58"/>
      <c r="D10" s="93" t="s">
        <v>76</v>
      </c>
      <c r="E10" s="93"/>
      <c r="F10" s="93"/>
      <c r="G10" s="83"/>
      <c r="H10" s="92" t="s">
        <v>85</v>
      </c>
      <c r="I10" s="92"/>
      <c r="J10" s="94"/>
      <c r="K10" s="94"/>
      <c r="L10" s="57" t="s">
        <v>76</v>
      </c>
      <c r="M10" s="48"/>
    </row>
    <row r="11" spans="1:13" ht="13.5" customHeight="1">
      <c r="A11" s="95" t="s">
        <v>84</v>
      </c>
      <c r="B11" s="95"/>
      <c r="C11" s="54" t="s">
        <v>78</v>
      </c>
      <c r="D11" s="96">
        <v>5.5</v>
      </c>
      <c r="E11" s="96"/>
      <c r="F11" s="96"/>
      <c r="G11" s="83"/>
      <c r="H11" s="95" t="s">
        <v>83</v>
      </c>
      <c r="I11" s="95"/>
      <c r="J11" s="95" t="s">
        <v>70</v>
      </c>
      <c r="K11" s="95"/>
      <c r="L11" s="56">
        <v>13.4</v>
      </c>
      <c r="M11" s="52"/>
    </row>
    <row r="12" spans="1:13" ht="13.5" customHeight="1">
      <c r="A12" s="97" t="s">
        <v>83</v>
      </c>
      <c r="B12" s="97"/>
      <c r="C12" s="51" t="s">
        <v>70</v>
      </c>
      <c r="D12" s="98">
        <v>9.1</v>
      </c>
      <c r="E12" s="98"/>
      <c r="F12" s="98"/>
      <c r="G12" s="83"/>
      <c r="H12" s="83"/>
      <c r="I12" s="83"/>
      <c r="J12" s="83"/>
      <c r="K12" s="83"/>
      <c r="L12" s="83"/>
      <c r="M12" s="52"/>
    </row>
    <row r="13" spans="1:13" ht="14" customHeight="1">
      <c r="A13" s="97" t="s">
        <v>82</v>
      </c>
      <c r="B13" s="97"/>
      <c r="C13" s="51" t="s">
        <v>81</v>
      </c>
      <c r="D13" s="98">
        <v>9.3000000000000007</v>
      </c>
      <c r="E13" s="98"/>
      <c r="F13" s="98"/>
      <c r="G13" s="83"/>
      <c r="H13" s="83"/>
      <c r="I13" s="83"/>
      <c r="J13" s="83"/>
      <c r="K13" s="83"/>
      <c r="L13" s="83"/>
      <c r="M13" s="52"/>
    </row>
    <row r="14" spans="1:13" ht="15" customHeight="1">
      <c r="A14" s="99"/>
      <c r="B14" s="99"/>
      <c r="C14" s="52"/>
      <c r="D14" s="99"/>
      <c r="E14" s="99"/>
      <c r="F14" s="99"/>
      <c r="G14" s="83"/>
      <c r="H14" s="83"/>
      <c r="I14" s="83"/>
      <c r="J14" s="83"/>
      <c r="K14" s="83"/>
      <c r="L14" s="83"/>
      <c r="M14" s="52"/>
    </row>
    <row r="15" spans="1:13" ht="13.5" customHeight="1">
      <c r="A15" s="100" t="s">
        <v>80</v>
      </c>
      <c r="B15" s="100"/>
      <c r="C15" s="55"/>
      <c r="D15" s="93" t="s">
        <v>76</v>
      </c>
      <c r="E15" s="93"/>
      <c r="F15" s="93"/>
      <c r="G15" s="83"/>
      <c r="H15" s="83"/>
      <c r="I15" s="83"/>
      <c r="J15" s="83"/>
      <c r="K15" s="83"/>
      <c r="L15" s="83"/>
      <c r="M15" s="52"/>
    </row>
    <row r="16" spans="1:13" ht="14" customHeight="1">
      <c r="A16" s="95" t="s">
        <v>79</v>
      </c>
      <c r="B16" s="95"/>
      <c r="C16" s="54" t="s">
        <v>78</v>
      </c>
      <c r="D16" s="96">
        <v>7.5</v>
      </c>
      <c r="E16" s="96"/>
      <c r="F16" s="96"/>
      <c r="G16" s="83"/>
      <c r="H16" s="83"/>
      <c r="I16" s="83"/>
      <c r="J16" s="83"/>
      <c r="K16" s="83"/>
      <c r="L16" s="83"/>
      <c r="M16" s="52"/>
    </row>
    <row r="17" spans="1:13" ht="12" customHeight="1">
      <c r="A17" s="99"/>
      <c r="B17" s="99"/>
      <c r="C17" s="52"/>
      <c r="D17" s="99"/>
      <c r="E17" s="99"/>
      <c r="F17" s="99"/>
      <c r="G17" s="83"/>
      <c r="H17" s="83"/>
      <c r="I17" s="83"/>
      <c r="J17" s="83"/>
      <c r="K17" s="83"/>
      <c r="L17" s="83"/>
      <c r="M17" s="52"/>
    </row>
    <row r="18" spans="1:13" ht="13.5" customHeight="1">
      <c r="A18" s="100" t="s">
        <v>77</v>
      </c>
      <c r="B18" s="100"/>
      <c r="C18" s="55"/>
      <c r="D18" s="93" t="s">
        <v>76</v>
      </c>
      <c r="E18" s="93"/>
      <c r="F18" s="93"/>
      <c r="G18" s="83"/>
      <c r="H18" s="83"/>
      <c r="I18" s="83"/>
      <c r="J18" s="83"/>
      <c r="K18" s="83"/>
      <c r="L18" s="83"/>
      <c r="M18" s="52"/>
    </row>
    <row r="19" spans="1:13" ht="26.25" customHeight="1">
      <c r="A19" s="95" t="s">
        <v>75</v>
      </c>
      <c r="B19" s="95"/>
      <c r="C19" s="53" t="s">
        <v>70</v>
      </c>
      <c r="D19" s="101">
        <v>0.9</v>
      </c>
      <c r="E19" s="101"/>
      <c r="F19" s="101"/>
      <c r="G19" s="83"/>
      <c r="H19" s="83"/>
      <c r="I19" s="83"/>
      <c r="J19" s="83"/>
      <c r="K19" s="83"/>
      <c r="L19" s="83"/>
      <c r="M19" s="48"/>
    </row>
    <row r="20" spans="1:13" ht="26.25" customHeight="1">
      <c r="A20" s="97" t="s">
        <v>74</v>
      </c>
      <c r="B20" s="97"/>
      <c r="C20" s="50" t="s">
        <v>70</v>
      </c>
      <c r="D20" s="102">
        <v>0.27</v>
      </c>
      <c r="E20" s="102"/>
      <c r="F20" s="102"/>
      <c r="G20" s="83"/>
      <c r="H20" s="83"/>
      <c r="I20" s="83"/>
      <c r="J20" s="83"/>
      <c r="K20" s="83"/>
      <c r="L20" s="83"/>
      <c r="M20" s="48"/>
    </row>
    <row r="21" spans="1:13" ht="13.5" customHeight="1">
      <c r="A21" s="97" t="s">
        <v>73</v>
      </c>
      <c r="B21" s="97"/>
      <c r="C21" s="51" t="s">
        <v>70</v>
      </c>
      <c r="D21" s="98">
        <v>0.41</v>
      </c>
      <c r="E21" s="98"/>
      <c r="F21" s="98"/>
      <c r="G21" s="83"/>
      <c r="H21" s="83"/>
      <c r="I21" s="83"/>
      <c r="J21" s="83"/>
      <c r="K21" s="83"/>
      <c r="L21" s="83"/>
      <c r="M21" s="52"/>
    </row>
    <row r="22" spans="1:13" ht="26.25" customHeight="1">
      <c r="A22" s="97" t="s">
        <v>72</v>
      </c>
      <c r="B22" s="97"/>
      <c r="C22" s="50" t="s">
        <v>70</v>
      </c>
      <c r="D22" s="102">
        <v>0.05</v>
      </c>
      <c r="E22" s="102"/>
      <c r="F22" s="102"/>
      <c r="G22" s="83"/>
      <c r="H22" s="83"/>
      <c r="I22" s="83"/>
      <c r="J22" s="83"/>
      <c r="K22" s="83"/>
      <c r="L22" s="83"/>
      <c r="M22" s="48"/>
    </row>
    <row r="23" spans="1:13" ht="26.25" customHeight="1">
      <c r="A23" s="97" t="s">
        <v>71</v>
      </c>
      <c r="B23" s="97"/>
      <c r="C23" s="50" t="s">
        <v>70</v>
      </c>
      <c r="D23" s="102">
        <v>2.2999999999999998</v>
      </c>
      <c r="E23" s="102"/>
      <c r="F23" s="102"/>
      <c r="G23" s="83"/>
      <c r="H23" s="83"/>
      <c r="I23" s="83"/>
      <c r="J23" s="83"/>
      <c r="K23" s="83"/>
      <c r="L23" s="83"/>
      <c r="M23" s="48"/>
    </row>
    <row r="27" spans="1:13" ht="18">
      <c r="B27" s="59" t="s">
        <v>99</v>
      </c>
      <c r="C27" s="59"/>
      <c r="D27" s="59"/>
      <c r="E27" s="59"/>
      <c r="F27" s="59"/>
      <c r="G27" s="59"/>
      <c r="H27" s="59"/>
    </row>
    <row r="28" spans="1:13" ht="18">
      <c r="B28" s="60"/>
      <c r="C28" s="60"/>
      <c r="D28" s="60"/>
      <c r="E28" s="60"/>
      <c r="F28" s="60"/>
      <c r="G28" s="60"/>
      <c r="H28" s="60"/>
    </row>
    <row r="29" spans="1:13" ht="18">
      <c r="B29" s="60" t="s">
        <v>100</v>
      </c>
      <c r="C29" s="61">
        <f>D11+D12+D19+D20+D21+D22+D23+L11</f>
        <v>31.93</v>
      </c>
      <c r="D29" s="60"/>
      <c r="E29" s="60" t="s">
        <v>101</v>
      </c>
      <c r="F29" s="60"/>
      <c r="G29" s="60"/>
      <c r="H29" s="60"/>
    </row>
    <row r="30" spans="1:13" ht="18">
      <c r="B30" s="60" t="s">
        <v>131</v>
      </c>
      <c r="C30" s="61">
        <f>D11+D12</f>
        <v>14.6</v>
      </c>
      <c r="D30" s="60"/>
      <c r="E30" s="60" t="s">
        <v>101</v>
      </c>
      <c r="F30" s="60"/>
      <c r="G30" s="60"/>
      <c r="H30" s="60"/>
    </row>
    <row r="31" spans="1:13" ht="18">
      <c r="B31" s="60" t="s">
        <v>130</v>
      </c>
      <c r="C31" s="61">
        <f>D19+D20+D21+D22+D23</f>
        <v>3.9299999999999997</v>
      </c>
      <c r="D31" s="60"/>
      <c r="E31" s="60" t="s">
        <v>101</v>
      </c>
      <c r="F31" s="60"/>
      <c r="G31" s="60"/>
      <c r="H31" s="60"/>
    </row>
    <row r="32" spans="1:13" ht="18">
      <c r="B32" s="60" t="s">
        <v>132</v>
      </c>
      <c r="C32" s="61">
        <f>L11</f>
        <v>13.4</v>
      </c>
      <c r="D32" s="60"/>
      <c r="E32" s="60" t="s">
        <v>101</v>
      </c>
      <c r="F32" s="60"/>
      <c r="G32" s="60"/>
      <c r="H32" s="60"/>
    </row>
    <row r="33" spans="2:8" ht="18">
      <c r="B33" s="60"/>
      <c r="C33" s="60"/>
      <c r="D33" s="60"/>
      <c r="E33" s="60"/>
      <c r="F33" s="60"/>
      <c r="G33" s="60"/>
      <c r="H33" s="60"/>
    </row>
    <row r="34" spans="2:8" ht="18">
      <c r="B34" s="60"/>
      <c r="C34" s="60"/>
      <c r="D34" s="60"/>
      <c r="E34" s="60"/>
      <c r="F34" s="60"/>
      <c r="G34" s="60"/>
      <c r="H34" s="60"/>
    </row>
    <row r="35" spans="2:8" ht="18">
      <c r="B35" s="60"/>
      <c r="C35" s="60"/>
      <c r="D35" s="60"/>
      <c r="E35" s="60"/>
      <c r="F35" s="60"/>
      <c r="G35" s="60"/>
      <c r="H35" s="60"/>
    </row>
    <row r="36" spans="2:8" ht="18">
      <c r="B36" s="60"/>
      <c r="C36" s="60"/>
      <c r="D36" s="60"/>
      <c r="E36" s="60"/>
      <c r="F36" s="60"/>
      <c r="G36" s="60"/>
      <c r="H36" s="60"/>
    </row>
  </sheetData>
  <mergeCells count="56">
    <mergeCell ref="D19:F19"/>
    <mergeCell ref="A23:B23"/>
    <mergeCell ref="D23:F23"/>
    <mergeCell ref="A20:B20"/>
    <mergeCell ref="D20:F20"/>
    <mergeCell ref="A21:B21"/>
    <mergeCell ref="D21:F21"/>
    <mergeCell ref="A22:B22"/>
    <mergeCell ref="D22:F22"/>
    <mergeCell ref="A12:B12"/>
    <mergeCell ref="D12:F12"/>
    <mergeCell ref="G12:L23"/>
    <mergeCell ref="A13:B13"/>
    <mergeCell ref="D13:F13"/>
    <mergeCell ref="A14:B14"/>
    <mergeCell ref="D14:F14"/>
    <mergeCell ref="A15:B15"/>
    <mergeCell ref="D15:F15"/>
    <mergeCell ref="A16:B16"/>
    <mergeCell ref="D16:F16"/>
    <mergeCell ref="A17:B17"/>
    <mergeCell ref="D17:F17"/>
    <mergeCell ref="A18:B18"/>
    <mergeCell ref="D18:F18"/>
    <mergeCell ref="A19:B19"/>
    <mergeCell ref="A10:B10"/>
    <mergeCell ref="D10:F10"/>
    <mergeCell ref="G10:G11"/>
    <mergeCell ref="H10:I10"/>
    <mergeCell ref="J10:K10"/>
    <mergeCell ref="A11:B11"/>
    <mergeCell ref="D11:F11"/>
    <mergeCell ref="H11:I11"/>
    <mergeCell ref="J11:K11"/>
    <mergeCell ref="A7:D7"/>
    <mergeCell ref="E7:H7"/>
    <mergeCell ref="I7:J7"/>
    <mergeCell ref="K7:L7"/>
    <mergeCell ref="A8:D8"/>
    <mergeCell ref="E8:H8"/>
    <mergeCell ref="I8:J8"/>
    <mergeCell ref="K8:L8"/>
    <mergeCell ref="A5:D5"/>
    <mergeCell ref="E5:H5"/>
    <mergeCell ref="I5:J5"/>
    <mergeCell ref="K5:L5"/>
    <mergeCell ref="A6:D6"/>
    <mergeCell ref="E6:H6"/>
    <mergeCell ref="I6:J6"/>
    <mergeCell ref="K6:L6"/>
    <mergeCell ref="A1:L1"/>
    <mergeCell ref="A2:M2"/>
    <mergeCell ref="A3:M3"/>
    <mergeCell ref="A4:H4"/>
    <mergeCell ref="I4:J4"/>
    <mergeCell ref="K4:L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26A5-D0FD-644E-A19E-6EE0E36179FE}">
  <dimension ref="A1:L29"/>
  <sheetViews>
    <sheetView topLeftCell="A4" zoomScale="127" zoomScaleNormal="127" workbookViewId="0">
      <selection activeCell="G26" sqref="G26"/>
    </sheetView>
  </sheetViews>
  <sheetFormatPr baseColWidth="10" defaultRowHeight="13"/>
  <cols>
    <col min="1" max="1" width="14.19921875" customWidth="1"/>
    <col min="3" max="3" width="14.3984375" customWidth="1"/>
  </cols>
  <sheetData>
    <row r="1" spans="1:12" ht="54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62"/>
    </row>
    <row r="2" spans="1:12" ht="89.25" customHeight="1">
      <c r="A2" s="106" t="s">
        <v>104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 ht="36.5" customHeight="1">
      <c r="A3" s="117" t="s">
        <v>105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1:12" ht="40.5" customHeight="1">
      <c r="A4" s="118" t="s">
        <v>106</v>
      </c>
      <c r="B4" s="118"/>
      <c r="C4" s="118"/>
      <c r="D4" s="118"/>
      <c r="E4" s="118"/>
      <c r="F4" s="118"/>
      <c r="G4" s="118"/>
      <c r="H4" s="119" t="s">
        <v>107</v>
      </c>
      <c r="I4" s="119"/>
      <c r="J4" s="119" t="s">
        <v>108</v>
      </c>
      <c r="K4" s="119"/>
      <c r="L4" s="62"/>
    </row>
    <row r="5" spans="1:12" ht="20" customHeight="1">
      <c r="A5" s="114" t="s">
        <v>109</v>
      </c>
      <c r="B5" s="114"/>
      <c r="C5" s="114"/>
      <c r="D5" s="114" t="s">
        <v>110</v>
      </c>
      <c r="E5" s="114"/>
      <c r="F5" s="114"/>
      <c r="G5" s="114"/>
      <c r="H5" s="115">
        <v>5.5</v>
      </c>
      <c r="I5" s="115"/>
      <c r="J5" s="115">
        <v>5.95</v>
      </c>
      <c r="K5" s="115"/>
      <c r="L5" s="14"/>
    </row>
    <row r="6" spans="1:12" ht="21" customHeight="1">
      <c r="A6" s="110" t="s">
        <v>111</v>
      </c>
      <c r="B6" s="110"/>
      <c r="C6" s="110"/>
      <c r="D6" s="110" t="s">
        <v>112</v>
      </c>
      <c r="E6" s="110"/>
      <c r="F6" s="110"/>
      <c r="G6" s="110"/>
      <c r="H6" s="116">
        <v>30.83</v>
      </c>
      <c r="I6" s="116"/>
      <c r="J6" s="116">
        <v>33.33</v>
      </c>
      <c r="K6" s="116"/>
      <c r="L6" s="14"/>
    </row>
    <row r="7" spans="1:12" ht="20.5" customHeight="1">
      <c r="A7" s="110" t="s">
        <v>113</v>
      </c>
      <c r="B7" s="110"/>
      <c r="C7" s="110"/>
      <c r="D7" s="110" t="s">
        <v>110</v>
      </c>
      <c r="E7" s="110"/>
      <c r="F7" s="110"/>
      <c r="G7" s="110"/>
      <c r="H7" s="111">
        <v>7.5</v>
      </c>
      <c r="I7" s="111"/>
      <c r="J7" s="111">
        <v>8.11</v>
      </c>
      <c r="K7" s="111"/>
      <c r="L7" s="14"/>
    </row>
    <row r="8" spans="1:12" ht="14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7" customHeight="1">
      <c r="A9" s="63" t="s">
        <v>114</v>
      </c>
      <c r="B9" s="64"/>
      <c r="C9" s="107" t="s">
        <v>115</v>
      </c>
      <c r="D9" s="107"/>
      <c r="E9" s="107"/>
      <c r="F9" s="106"/>
      <c r="G9" s="112" t="s">
        <v>116</v>
      </c>
      <c r="H9" s="112"/>
      <c r="I9" s="113"/>
      <c r="J9" s="113"/>
      <c r="K9" s="65" t="s">
        <v>115</v>
      </c>
      <c r="L9" s="14"/>
    </row>
    <row r="10" spans="1:12" ht="13.5" customHeight="1">
      <c r="A10" s="66" t="s">
        <v>117</v>
      </c>
      <c r="B10" s="66" t="s">
        <v>118</v>
      </c>
      <c r="C10" s="108">
        <v>5.5</v>
      </c>
      <c r="D10" s="108"/>
      <c r="E10" s="108"/>
      <c r="F10" s="106"/>
      <c r="G10" s="104" t="s">
        <v>119</v>
      </c>
      <c r="H10" s="104"/>
      <c r="I10" s="104" t="s">
        <v>120</v>
      </c>
      <c r="J10" s="104"/>
      <c r="K10" s="67">
        <v>14.3</v>
      </c>
      <c r="L10" s="1"/>
    </row>
    <row r="11" spans="1:12" ht="13.5" customHeight="1">
      <c r="A11" s="68" t="s">
        <v>119</v>
      </c>
      <c r="B11" s="68" t="s">
        <v>120</v>
      </c>
      <c r="C11" s="105">
        <v>11.8</v>
      </c>
      <c r="D11" s="105"/>
      <c r="E11" s="105"/>
      <c r="F11" s="106"/>
      <c r="G11" s="106"/>
      <c r="H11" s="106"/>
      <c r="I11" s="106"/>
      <c r="J11" s="106"/>
      <c r="K11" s="106"/>
      <c r="L11" s="1"/>
    </row>
    <row r="12" spans="1:12" ht="13" customHeight="1">
      <c r="A12" s="1"/>
      <c r="B12" s="1"/>
      <c r="C12" s="78"/>
      <c r="D12" s="78"/>
      <c r="E12" s="78"/>
      <c r="F12" s="106"/>
      <c r="G12" s="106"/>
      <c r="H12" s="106"/>
      <c r="I12" s="106"/>
      <c r="J12" s="106"/>
      <c r="K12" s="106"/>
      <c r="L12" s="1"/>
    </row>
    <row r="13" spans="1:12" ht="13.5" customHeight="1">
      <c r="A13" s="69" t="s">
        <v>121</v>
      </c>
      <c r="B13" s="70"/>
      <c r="C13" s="107" t="s">
        <v>115</v>
      </c>
      <c r="D13" s="107"/>
      <c r="E13" s="107"/>
      <c r="F13" s="106"/>
      <c r="G13" s="106"/>
      <c r="H13" s="106"/>
      <c r="I13" s="106"/>
      <c r="J13" s="106"/>
      <c r="K13" s="106"/>
      <c r="L13" s="1"/>
    </row>
    <row r="14" spans="1:12" ht="13.5" customHeight="1">
      <c r="A14" s="66" t="s">
        <v>122</v>
      </c>
      <c r="B14" s="66" t="s">
        <v>118</v>
      </c>
      <c r="C14" s="108">
        <v>7.5</v>
      </c>
      <c r="D14" s="108"/>
      <c r="E14" s="108"/>
      <c r="F14" s="106"/>
      <c r="G14" s="106"/>
      <c r="H14" s="106"/>
      <c r="I14" s="106"/>
      <c r="J14" s="106"/>
      <c r="K14" s="106"/>
      <c r="L14" s="1"/>
    </row>
    <row r="15" spans="1:12" ht="11" customHeight="1">
      <c r="A15" s="1"/>
      <c r="B15" s="1"/>
      <c r="C15" s="78"/>
      <c r="D15" s="78"/>
      <c r="E15" s="78"/>
      <c r="F15" s="106"/>
      <c r="G15" s="106"/>
      <c r="H15" s="106"/>
      <c r="I15" s="106"/>
      <c r="J15" s="106"/>
      <c r="K15" s="106"/>
      <c r="L15" s="1"/>
    </row>
    <row r="16" spans="1:12" ht="13.5" customHeight="1">
      <c r="A16" s="69" t="s">
        <v>123</v>
      </c>
      <c r="B16" s="70"/>
      <c r="C16" s="107" t="s">
        <v>115</v>
      </c>
      <c r="D16" s="107"/>
      <c r="E16" s="107"/>
      <c r="F16" s="106"/>
      <c r="G16" s="106"/>
      <c r="H16" s="106"/>
      <c r="I16" s="106"/>
      <c r="J16" s="106"/>
      <c r="K16" s="106"/>
      <c r="L16" s="1"/>
    </row>
    <row r="17" spans="1:12" ht="26.25" customHeight="1">
      <c r="A17" s="66" t="s">
        <v>124</v>
      </c>
      <c r="B17" s="71" t="s">
        <v>120</v>
      </c>
      <c r="C17" s="109">
        <v>1.7</v>
      </c>
      <c r="D17" s="109"/>
      <c r="E17" s="109"/>
      <c r="F17" s="106"/>
      <c r="G17" s="106"/>
      <c r="H17" s="106"/>
      <c r="I17" s="106"/>
      <c r="J17" s="106"/>
      <c r="K17" s="106"/>
      <c r="L17" s="14"/>
    </row>
    <row r="18" spans="1:12" ht="26.25" customHeight="1">
      <c r="A18" s="68" t="s">
        <v>125</v>
      </c>
      <c r="B18" s="72" t="s">
        <v>120</v>
      </c>
      <c r="C18" s="103">
        <v>0.27</v>
      </c>
      <c r="D18" s="103"/>
      <c r="E18" s="103"/>
      <c r="F18" s="106"/>
      <c r="G18" s="106"/>
      <c r="H18" s="106"/>
      <c r="I18" s="106"/>
      <c r="J18" s="106"/>
      <c r="K18" s="106"/>
      <c r="L18" s="14"/>
    </row>
    <row r="19" spans="1:12" ht="26.25" customHeight="1">
      <c r="A19" s="68" t="s">
        <v>126</v>
      </c>
      <c r="B19" s="72" t="s">
        <v>120</v>
      </c>
      <c r="C19" s="103">
        <v>0.41</v>
      </c>
      <c r="D19" s="103"/>
      <c r="E19" s="103"/>
      <c r="F19" s="106"/>
      <c r="G19" s="106"/>
      <c r="H19" s="106"/>
      <c r="I19" s="106"/>
      <c r="J19" s="106"/>
      <c r="K19" s="106"/>
      <c r="L19" s="14"/>
    </row>
    <row r="20" spans="1:12" ht="26.25" customHeight="1">
      <c r="A20" s="68" t="s">
        <v>127</v>
      </c>
      <c r="B20" s="72" t="s">
        <v>120</v>
      </c>
      <c r="C20" s="103">
        <v>0.05</v>
      </c>
      <c r="D20" s="103"/>
      <c r="E20" s="103"/>
      <c r="F20" s="106"/>
      <c r="G20" s="106"/>
      <c r="H20" s="106"/>
      <c r="I20" s="106"/>
      <c r="J20" s="106"/>
      <c r="K20" s="106"/>
      <c r="L20" s="14"/>
    </row>
    <row r="21" spans="1:12" ht="26.25" customHeight="1">
      <c r="A21" s="68" t="s">
        <v>128</v>
      </c>
      <c r="B21" s="72" t="s">
        <v>120</v>
      </c>
      <c r="C21" s="103">
        <v>2.2999999999999998</v>
      </c>
      <c r="D21" s="103"/>
      <c r="E21" s="103"/>
      <c r="F21" s="106"/>
      <c r="G21" s="106"/>
      <c r="H21" s="106"/>
      <c r="I21" s="106"/>
      <c r="J21" s="106"/>
      <c r="K21" s="106"/>
      <c r="L21" s="14"/>
    </row>
    <row r="25" spans="1:12" ht="18">
      <c r="A25" s="73" t="s">
        <v>129</v>
      </c>
      <c r="B25" s="74"/>
      <c r="C25" s="75">
        <f>C10+C11+C17+C18+C19+C20+C21+K10</f>
        <v>36.33</v>
      </c>
      <c r="D25" s="73" t="s">
        <v>101</v>
      </c>
      <c r="E25" s="73"/>
    </row>
    <row r="26" spans="1:12" ht="18">
      <c r="A26" s="74" t="s">
        <v>131</v>
      </c>
      <c r="B26" s="74"/>
      <c r="C26" s="76">
        <f>C10+C11</f>
        <v>17.3</v>
      </c>
      <c r="D26" s="74" t="s">
        <v>101</v>
      </c>
    </row>
    <row r="27" spans="1:12" ht="18">
      <c r="A27" s="74" t="s">
        <v>130</v>
      </c>
      <c r="B27" s="74"/>
      <c r="C27" s="76">
        <f>C17+C18+C19+C20+C21</f>
        <v>4.7299999999999995</v>
      </c>
      <c r="D27" s="74" t="s">
        <v>101</v>
      </c>
    </row>
    <row r="28" spans="1:12" ht="18">
      <c r="A28" s="74" t="s">
        <v>132</v>
      </c>
      <c r="B28" s="74"/>
      <c r="C28" s="76">
        <f>K10</f>
        <v>14.3</v>
      </c>
      <c r="D28" s="74" t="s">
        <v>101</v>
      </c>
    </row>
    <row r="29" spans="1:12" ht="18">
      <c r="A29" s="74"/>
      <c r="B29" s="74"/>
      <c r="C29" s="74"/>
      <c r="D29" s="74"/>
    </row>
  </sheetData>
  <mergeCells count="37">
    <mergeCell ref="A1:K1"/>
    <mergeCell ref="A2:L2"/>
    <mergeCell ref="A3:L3"/>
    <mergeCell ref="A4:G4"/>
    <mergeCell ref="H4:I4"/>
    <mergeCell ref="J4:K4"/>
    <mergeCell ref="A5:C5"/>
    <mergeCell ref="D5:G5"/>
    <mergeCell ref="H5:I5"/>
    <mergeCell ref="J5:K5"/>
    <mergeCell ref="A6:C6"/>
    <mergeCell ref="D6:G6"/>
    <mergeCell ref="H6:I6"/>
    <mergeCell ref="J6:K6"/>
    <mergeCell ref="A7:C7"/>
    <mergeCell ref="D7:G7"/>
    <mergeCell ref="H7:I7"/>
    <mergeCell ref="J7:K7"/>
    <mergeCell ref="C9:E9"/>
    <mergeCell ref="F9:F10"/>
    <mergeCell ref="G9:H9"/>
    <mergeCell ref="I9:J9"/>
    <mergeCell ref="C10:E10"/>
    <mergeCell ref="G10:H10"/>
    <mergeCell ref="C19:E19"/>
    <mergeCell ref="C20:E20"/>
    <mergeCell ref="C21:E21"/>
    <mergeCell ref="I10:J10"/>
    <mergeCell ref="C11:E11"/>
    <mergeCell ref="F11:K21"/>
    <mergeCell ref="C12:E12"/>
    <mergeCell ref="C13:E13"/>
    <mergeCell ref="C14:E14"/>
    <mergeCell ref="C15:E15"/>
    <mergeCell ref="C16:E16"/>
    <mergeCell ref="C17:E17"/>
    <mergeCell ref="C18:E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9B6C-0D83-1646-BC4C-AD89A4CE46B0}">
  <dimension ref="A1:K170"/>
  <sheetViews>
    <sheetView tabSelected="1" topLeftCell="D4" zoomScale="195" zoomScaleNormal="195" workbookViewId="0">
      <selection activeCell="J23" sqref="J23"/>
    </sheetView>
  </sheetViews>
  <sheetFormatPr baseColWidth="10" defaultColWidth="34.59765625" defaultRowHeight="13"/>
  <cols>
    <col min="1" max="1" width="19.796875" customWidth="1"/>
    <col min="2" max="2" width="17.3984375" customWidth="1"/>
    <col min="3" max="3" width="11" customWidth="1"/>
    <col min="4" max="4" width="9.59765625" customWidth="1"/>
    <col min="5" max="5" width="21.3984375" customWidth="1"/>
    <col min="6" max="6" width="16.59765625" customWidth="1"/>
    <col min="7" max="7" width="7.59765625" customWidth="1"/>
    <col min="8" max="8" width="20.3984375" customWidth="1"/>
    <col min="9" max="9" width="14.3984375" customWidth="1"/>
    <col min="10" max="10" width="20.796875" customWidth="1"/>
  </cols>
  <sheetData>
    <row r="1" spans="1:11">
      <c r="A1" s="19" t="s">
        <v>43</v>
      </c>
      <c r="B1" s="19" t="s">
        <v>44</v>
      </c>
    </row>
    <row r="2" spans="1:11">
      <c r="A2" s="27">
        <v>0</v>
      </c>
      <c r="B2" s="24" t="s">
        <v>45</v>
      </c>
      <c r="C2" s="23"/>
      <c r="G2" s="19"/>
    </row>
    <row r="3" spans="1:11">
      <c r="A3" s="28">
        <v>4.1666666666666664E-2</v>
      </c>
      <c r="B3" s="24" t="s">
        <v>45</v>
      </c>
      <c r="C3" s="23"/>
    </row>
    <row r="4" spans="1:11">
      <c r="A4" s="27">
        <v>8.3333333333333301E-2</v>
      </c>
      <c r="B4" s="24" t="s">
        <v>45</v>
      </c>
      <c r="C4" s="23"/>
      <c r="E4" s="32" t="s">
        <v>102</v>
      </c>
    </row>
    <row r="5" spans="1:11">
      <c r="A5" s="28">
        <v>0.125</v>
      </c>
      <c r="B5" s="24" t="s">
        <v>45</v>
      </c>
      <c r="C5" s="23"/>
      <c r="J5" s="82"/>
      <c r="K5" s="82"/>
    </row>
    <row r="6" spans="1:11">
      <c r="A6" s="27">
        <v>0.16666666666666699</v>
      </c>
      <c r="B6" s="24" t="s">
        <v>45</v>
      </c>
      <c r="C6" s="23"/>
      <c r="E6" s="32" t="s">
        <v>103</v>
      </c>
      <c r="F6" s="30"/>
      <c r="G6" s="30"/>
      <c r="H6" s="30"/>
      <c r="I6" s="30"/>
      <c r="J6" s="82" t="s">
        <v>133</v>
      </c>
      <c r="K6" s="82"/>
    </row>
    <row r="7" spans="1:11">
      <c r="A7" s="28">
        <v>0.20833333333333301</v>
      </c>
      <c r="B7" s="24" t="s">
        <v>45</v>
      </c>
      <c r="C7" s="23"/>
      <c r="E7" s="30"/>
      <c r="F7" s="30"/>
      <c r="G7" s="30"/>
      <c r="H7" s="30" t="s">
        <v>53</v>
      </c>
      <c r="I7" s="30"/>
      <c r="J7" s="30" t="s">
        <v>53</v>
      </c>
      <c r="K7" s="30"/>
    </row>
    <row r="8" spans="1:11" ht="16" customHeight="1">
      <c r="A8" s="27">
        <v>0.25</v>
      </c>
      <c r="B8" s="24" t="s">
        <v>45</v>
      </c>
      <c r="C8" s="23"/>
      <c r="E8" s="33" t="s">
        <v>50</v>
      </c>
      <c r="F8" s="34" t="s">
        <v>54</v>
      </c>
      <c r="G8" s="35"/>
      <c r="H8" s="120">
        <v>0.31929999999999997</v>
      </c>
      <c r="I8" s="30"/>
      <c r="J8" s="122">
        <v>0.36330000000000001</v>
      </c>
    </row>
    <row r="9" spans="1:11" ht="16" customHeight="1">
      <c r="A9" s="28">
        <v>0.29166666666666702</v>
      </c>
      <c r="B9" s="25" t="s">
        <v>46</v>
      </c>
      <c r="C9" s="23"/>
      <c r="E9" s="37" t="s">
        <v>57</v>
      </c>
      <c r="F9" s="34" t="s">
        <v>54</v>
      </c>
      <c r="G9" s="35"/>
      <c r="H9" s="120">
        <v>0.31929999999999997</v>
      </c>
      <c r="I9" s="30"/>
      <c r="J9" s="122">
        <v>0.36330000000000001</v>
      </c>
    </row>
    <row r="10" spans="1:11" ht="16" customHeight="1">
      <c r="A10" s="27">
        <v>0.33333333333333298</v>
      </c>
      <c r="B10" s="25" t="s">
        <v>46</v>
      </c>
      <c r="C10" s="23"/>
      <c r="E10" s="37" t="s">
        <v>58</v>
      </c>
      <c r="F10" s="34" t="s">
        <v>54</v>
      </c>
      <c r="G10" s="35"/>
      <c r="H10" s="120">
        <v>0.31929999999999997</v>
      </c>
      <c r="I10" s="30"/>
      <c r="J10" s="122">
        <v>0.36330000000000001</v>
      </c>
    </row>
    <row r="11" spans="1:11" ht="16" customHeight="1">
      <c r="A11" s="28">
        <v>0.375</v>
      </c>
      <c r="B11" s="25" t="s">
        <v>46</v>
      </c>
      <c r="C11" s="23"/>
      <c r="E11" s="37" t="s">
        <v>59</v>
      </c>
      <c r="F11" s="34" t="s">
        <v>54</v>
      </c>
      <c r="G11" s="35"/>
      <c r="H11" s="120">
        <v>0.31929999999999997</v>
      </c>
      <c r="I11" s="30"/>
      <c r="J11" s="122">
        <v>0.36330000000000001</v>
      </c>
    </row>
    <row r="12" spans="1:11" ht="16" customHeight="1">
      <c r="A12" s="27">
        <v>0.41666666666666702</v>
      </c>
      <c r="B12" s="25" t="s">
        <v>46</v>
      </c>
      <c r="C12" s="23"/>
      <c r="E12" s="37" t="s">
        <v>55</v>
      </c>
      <c r="F12" s="34" t="s">
        <v>54</v>
      </c>
      <c r="G12" s="35"/>
      <c r="H12" s="121">
        <v>7.2999999999999995E-2</v>
      </c>
      <c r="I12" s="30"/>
      <c r="J12" s="122"/>
    </row>
    <row r="13" spans="1:11" ht="16" customHeight="1">
      <c r="A13" s="28">
        <v>0.45833333333333298</v>
      </c>
      <c r="B13" s="25" t="s">
        <v>46</v>
      </c>
      <c r="C13" s="23"/>
      <c r="E13" s="37" t="s">
        <v>60</v>
      </c>
      <c r="F13" s="38" t="s">
        <v>61</v>
      </c>
      <c r="G13" s="35"/>
      <c r="H13" s="121">
        <v>9.3000000000000007</v>
      </c>
      <c r="I13" s="30"/>
      <c r="J13" s="122"/>
    </row>
    <row r="14" spans="1:11" ht="16" customHeight="1">
      <c r="A14" s="27">
        <v>0.5</v>
      </c>
      <c r="B14" s="25" t="s">
        <v>46</v>
      </c>
      <c r="C14" s="23"/>
      <c r="E14" s="37" t="s">
        <v>62</v>
      </c>
      <c r="F14" s="38" t="s">
        <v>63</v>
      </c>
      <c r="G14" s="35"/>
      <c r="H14" s="121">
        <v>7.5</v>
      </c>
      <c r="I14" s="30"/>
      <c r="J14" s="122">
        <v>7.5</v>
      </c>
    </row>
    <row r="15" spans="1:11">
      <c r="A15" s="28">
        <v>0.54166666666666696</v>
      </c>
      <c r="B15" s="25" t="s">
        <v>46</v>
      </c>
      <c r="C15" s="23"/>
      <c r="E15" s="30" t="s">
        <v>68</v>
      </c>
      <c r="F15" s="31" t="s">
        <v>54</v>
      </c>
      <c r="G15" s="30"/>
      <c r="H15" s="122">
        <f>'Rheineck Gewerbetarif'!C30/100</f>
        <v>0.14599999999999999</v>
      </c>
      <c r="I15" s="40"/>
      <c r="J15" s="123">
        <v>0.17299999999999999</v>
      </c>
    </row>
    <row r="16" spans="1:11">
      <c r="A16" s="27">
        <v>0.58333333333333304</v>
      </c>
      <c r="B16" s="25" t="s">
        <v>46</v>
      </c>
      <c r="C16" s="23"/>
      <c r="E16" s="30"/>
      <c r="F16" s="30"/>
      <c r="G16" s="30"/>
      <c r="H16" s="30"/>
      <c r="I16" s="30"/>
      <c r="J16" s="19"/>
      <c r="K16" s="19"/>
    </row>
    <row r="17" spans="1:11">
      <c r="A17" s="28">
        <v>0.625</v>
      </c>
      <c r="B17" s="25" t="s">
        <v>46</v>
      </c>
      <c r="C17" s="23"/>
      <c r="E17" s="30" t="s">
        <v>47</v>
      </c>
      <c r="F17" s="39">
        <v>45383</v>
      </c>
      <c r="G17" s="30"/>
      <c r="H17" s="39">
        <v>45565.958333333336</v>
      </c>
      <c r="I17" s="30"/>
      <c r="J17" s="19"/>
      <c r="K17" s="19"/>
    </row>
    <row r="18" spans="1:11">
      <c r="A18" s="27">
        <v>0.66666666666666696</v>
      </c>
      <c r="B18" s="25" t="s">
        <v>46</v>
      </c>
      <c r="C18" s="23"/>
      <c r="E18" s="30" t="s">
        <v>48</v>
      </c>
      <c r="F18" s="39">
        <v>45292</v>
      </c>
      <c r="G18" s="30"/>
      <c r="H18" s="39">
        <v>45382.958333333336</v>
      </c>
      <c r="I18" s="30"/>
      <c r="J18" s="19"/>
      <c r="K18" s="19"/>
    </row>
    <row r="19" spans="1:11">
      <c r="A19" s="28">
        <v>0.70833333333333304</v>
      </c>
      <c r="B19" s="25" t="s">
        <v>46</v>
      </c>
      <c r="C19" s="23"/>
      <c r="E19" s="30" t="s">
        <v>49</v>
      </c>
      <c r="F19" s="39">
        <v>45566</v>
      </c>
      <c r="G19" s="30"/>
      <c r="H19" s="39">
        <v>45657.958333333336</v>
      </c>
      <c r="I19" s="30"/>
    </row>
    <row r="20" spans="1:11">
      <c r="A20" s="27">
        <v>0.75</v>
      </c>
      <c r="B20" s="25" t="s">
        <v>46</v>
      </c>
      <c r="C20" s="23"/>
    </row>
    <row r="21" spans="1:11">
      <c r="A21" s="28">
        <v>0.79166666666666696</v>
      </c>
      <c r="B21" s="24" t="s">
        <v>45</v>
      </c>
      <c r="C21" s="23"/>
    </row>
    <row r="22" spans="1:11">
      <c r="A22" s="27">
        <v>0.83333333333333304</v>
      </c>
      <c r="B22" s="24" t="s">
        <v>45</v>
      </c>
      <c r="C22" s="23"/>
    </row>
    <row r="23" spans="1:11">
      <c r="A23" s="28">
        <v>0.875</v>
      </c>
      <c r="B23" s="24" t="s">
        <v>45</v>
      </c>
      <c r="C23" s="23"/>
    </row>
    <row r="24" spans="1:11">
      <c r="A24" s="27">
        <v>0.91666666666666696</v>
      </c>
      <c r="B24" s="24" t="s">
        <v>45</v>
      </c>
      <c r="C24" s="23"/>
    </row>
    <row r="25" spans="1:11">
      <c r="A25" s="28">
        <v>0.95833333333333304</v>
      </c>
      <c r="B25" s="24" t="s">
        <v>45</v>
      </c>
      <c r="C25" s="23" t="s">
        <v>36</v>
      </c>
    </row>
    <row r="26" spans="1:11">
      <c r="A26" s="27">
        <v>1</v>
      </c>
      <c r="B26" s="24" t="s">
        <v>45</v>
      </c>
      <c r="C26" s="23"/>
    </row>
    <row r="27" spans="1:11">
      <c r="A27" s="28">
        <v>1.0416666666666701</v>
      </c>
      <c r="B27" s="24" t="s">
        <v>45</v>
      </c>
      <c r="C27" s="23"/>
    </row>
    <row r="28" spans="1:11">
      <c r="A28" s="27">
        <v>1.0833333333333299</v>
      </c>
      <c r="B28" s="24" t="s">
        <v>45</v>
      </c>
      <c r="C28" s="23"/>
    </row>
    <row r="29" spans="1:11">
      <c r="A29" s="28">
        <v>1.125</v>
      </c>
      <c r="B29" s="24" t="s">
        <v>45</v>
      </c>
      <c r="C29" s="23"/>
    </row>
    <row r="30" spans="1:11">
      <c r="A30" s="27">
        <v>1.1666666666666701</v>
      </c>
      <c r="B30" s="24" t="s">
        <v>45</v>
      </c>
      <c r="C30" s="23"/>
    </row>
    <row r="31" spans="1:11">
      <c r="A31" s="28">
        <v>1.2083333333333299</v>
      </c>
      <c r="B31" s="24" t="s">
        <v>45</v>
      </c>
      <c r="C31" s="23"/>
    </row>
    <row r="32" spans="1:11">
      <c r="A32" s="27">
        <v>1.25</v>
      </c>
      <c r="B32" s="24" t="s">
        <v>45</v>
      </c>
      <c r="C32" s="23"/>
    </row>
    <row r="33" spans="1:3">
      <c r="A33" s="28">
        <v>1.2916666666666701</v>
      </c>
      <c r="B33" s="25" t="s">
        <v>46</v>
      </c>
      <c r="C33" s="23"/>
    </row>
    <row r="34" spans="1:3">
      <c r="A34" s="27">
        <v>1.3333333333333299</v>
      </c>
      <c r="B34" s="25" t="s">
        <v>46</v>
      </c>
      <c r="C34" s="23"/>
    </row>
    <row r="35" spans="1:3">
      <c r="A35" s="28">
        <v>1.375</v>
      </c>
      <c r="B35" s="25" t="s">
        <v>46</v>
      </c>
      <c r="C35" s="23"/>
    </row>
    <row r="36" spans="1:3">
      <c r="A36" s="27">
        <v>1.4166666666666701</v>
      </c>
      <c r="B36" s="25" t="s">
        <v>46</v>
      </c>
      <c r="C36" s="23"/>
    </row>
    <row r="37" spans="1:3">
      <c r="A37" s="28">
        <v>1.4583333333333299</v>
      </c>
      <c r="B37" s="25" t="s">
        <v>46</v>
      </c>
      <c r="C37" s="23"/>
    </row>
    <row r="38" spans="1:3">
      <c r="A38" s="27">
        <v>1.5</v>
      </c>
      <c r="B38" s="25" t="s">
        <v>46</v>
      </c>
      <c r="C38" s="23"/>
    </row>
    <row r="39" spans="1:3">
      <c r="A39" s="28">
        <v>1.5416666666666701</v>
      </c>
      <c r="B39" s="25" t="s">
        <v>46</v>
      </c>
      <c r="C39" s="23"/>
    </row>
    <row r="40" spans="1:3">
      <c r="A40" s="27">
        <v>1.5833333333333299</v>
      </c>
      <c r="B40" s="25" t="s">
        <v>46</v>
      </c>
      <c r="C40" s="23"/>
    </row>
    <row r="41" spans="1:3">
      <c r="A41" s="28">
        <v>1.625</v>
      </c>
      <c r="B41" s="25" t="s">
        <v>46</v>
      </c>
      <c r="C41" s="23"/>
    </row>
    <row r="42" spans="1:3">
      <c r="A42" s="27">
        <v>1.6666666666666701</v>
      </c>
      <c r="B42" s="25" t="s">
        <v>46</v>
      </c>
      <c r="C42" s="23"/>
    </row>
    <row r="43" spans="1:3">
      <c r="A43" s="28">
        <v>1.7083333333333299</v>
      </c>
      <c r="B43" s="25" t="s">
        <v>46</v>
      </c>
      <c r="C43" s="23"/>
    </row>
    <row r="44" spans="1:3">
      <c r="A44" s="27">
        <v>1.75</v>
      </c>
      <c r="B44" s="25" t="s">
        <v>46</v>
      </c>
      <c r="C44" s="23"/>
    </row>
    <row r="45" spans="1:3">
      <c r="A45" s="28">
        <v>1.7916666666666701</v>
      </c>
      <c r="B45" s="24" t="s">
        <v>45</v>
      </c>
      <c r="C45" s="23"/>
    </row>
    <row r="46" spans="1:3">
      <c r="A46" s="27">
        <v>1.8333333333333299</v>
      </c>
      <c r="B46" s="24" t="s">
        <v>45</v>
      </c>
      <c r="C46" s="23"/>
    </row>
    <row r="47" spans="1:3">
      <c r="A47" s="28">
        <v>1.875</v>
      </c>
      <c r="B47" s="24" t="s">
        <v>45</v>
      </c>
      <c r="C47" s="23"/>
    </row>
    <row r="48" spans="1:3">
      <c r="A48" s="27">
        <v>1.9166666666666701</v>
      </c>
      <c r="B48" s="24" t="s">
        <v>45</v>
      </c>
      <c r="C48" s="23"/>
    </row>
    <row r="49" spans="1:3">
      <c r="A49" s="28">
        <v>1.9583333333333299</v>
      </c>
      <c r="B49" s="24" t="s">
        <v>45</v>
      </c>
      <c r="C49" s="23" t="s">
        <v>37</v>
      </c>
    </row>
    <row r="50" spans="1:3">
      <c r="A50" s="27">
        <v>2</v>
      </c>
      <c r="B50" s="24" t="s">
        <v>45</v>
      </c>
      <c r="C50" s="23"/>
    </row>
    <row r="51" spans="1:3">
      <c r="A51" s="28">
        <v>2.0416666666666701</v>
      </c>
      <c r="B51" s="24" t="s">
        <v>45</v>
      </c>
      <c r="C51" s="23"/>
    </row>
    <row r="52" spans="1:3">
      <c r="A52" s="27">
        <v>2.0833333333333299</v>
      </c>
      <c r="B52" s="24" t="s">
        <v>45</v>
      </c>
      <c r="C52" s="23"/>
    </row>
    <row r="53" spans="1:3">
      <c r="A53" s="28">
        <v>2.125</v>
      </c>
      <c r="B53" s="24" t="s">
        <v>45</v>
      </c>
      <c r="C53" s="23"/>
    </row>
    <row r="54" spans="1:3">
      <c r="A54" s="27">
        <v>2.1666666666666701</v>
      </c>
      <c r="B54" s="24" t="s">
        <v>45</v>
      </c>
      <c r="C54" s="23"/>
    </row>
    <row r="55" spans="1:3">
      <c r="A55" s="28">
        <v>2.2083333333333299</v>
      </c>
      <c r="B55" s="24" t="s">
        <v>45</v>
      </c>
      <c r="C55" s="23"/>
    </row>
    <row r="56" spans="1:3">
      <c r="A56" s="27">
        <v>2.25</v>
      </c>
      <c r="B56" s="24" t="s">
        <v>45</v>
      </c>
      <c r="C56" s="23"/>
    </row>
    <row r="57" spans="1:3">
      <c r="A57" s="28">
        <v>2.2916666666666701</v>
      </c>
      <c r="B57" s="25" t="s">
        <v>46</v>
      </c>
      <c r="C57" s="23"/>
    </row>
    <row r="58" spans="1:3">
      <c r="A58" s="27">
        <v>2.3333333333333299</v>
      </c>
      <c r="B58" s="25" t="s">
        <v>46</v>
      </c>
      <c r="C58" s="23"/>
    </row>
    <row r="59" spans="1:3">
      <c r="A59" s="28">
        <v>2.375</v>
      </c>
      <c r="B59" s="25" t="s">
        <v>46</v>
      </c>
      <c r="C59" s="23"/>
    </row>
    <row r="60" spans="1:3">
      <c r="A60" s="27">
        <v>2.4166666666666701</v>
      </c>
      <c r="B60" s="25" t="s">
        <v>46</v>
      </c>
      <c r="C60" s="23"/>
    </row>
    <row r="61" spans="1:3">
      <c r="A61" s="28">
        <v>2.4583333333333299</v>
      </c>
      <c r="B61" s="25" t="s">
        <v>46</v>
      </c>
      <c r="C61" s="23"/>
    </row>
    <row r="62" spans="1:3">
      <c r="A62" s="27">
        <v>2.5</v>
      </c>
      <c r="B62" s="25" t="s">
        <v>46</v>
      </c>
      <c r="C62" s="23"/>
    </row>
    <row r="63" spans="1:3">
      <c r="A63" s="28">
        <v>2.5416666666666701</v>
      </c>
      <c r="B63" s="25" t="s">
        <v>46</v>
      </c>
      <c r="C63" s="23"/>
    </row>
    <row r="64" spans="1:3">
      <c r="A64" s="27">
        <v>2.5833333333333299</v>
      </c>
      <c r="B64" s="25" t="s">
        <v>46</v>
      </c>
      <c r="C64" s="23"/>
    </row>
    <row r="65" spans="1:3">
      <c r="A65" s="28">
        <v>2.625</v>
      </c>
      <c r="B65" s="25" t="s">
        <v>46</v>
      </c>
      <c r="C65" s="23"/>
    </row>
    <row r="66" spans="1:3">
      <c r="A66" s="27">
        <v>2.6666666666666701</v>
      </c>
      <c r="B66" s="25" t="s">
        <v>46</v>
      </c>
      <c r="C66" s="23"/>
    </row>
    <row r="67" spans="1:3">
      <c r="A67" s="28">
        <v>2.7083333333333299</v>
      </c>
      <c r="B67" s="25" t="s">
        <v>46</v>
      </c>
      <c r="C67" s="23"/>
    </row>
    <row r="68" spans="1:3">
      <c r="A68" s="27">
        <v>2.75</v>
      </c>
      <c r="B68" s="25" t="s">
        <v>46</v>
      </c>
      <c r="C68" s="23"/>
    </row>
    <row r="69" spans="1:3">
      <c r="A69" s="28">
        <v>2.7916666666666701</v>
      </c>
      <c r="B69" s="24" t="s">
        <v>45</v>
      </c>
      <c r="C69" s="23"/>
    </row>
    <row r="70" spans="1:3">
      <c r="A70" s="27">
        <v>2.8333333333333299</v>
      </c>
      <c r="B70" s="24" t="s">
        <v>45</v>
      </c>
      <c r="C70" s="23"/>
    </row>
    <row r="71" spans="1:3">
      <c r="A71" s="28">
        <v>2.875</v>
      </c>
      <c r="B71" s="24" t="s">
        <v>45</v>
      </c>
      <c r="C71" s="23"/>
    </row>
    <row r="72" spans="1:3">
      <c r="A72" s="27">
        <v>2.9166666666666701</v>
      </c>
      <c r="B72" s="24" t="s">
        <v>45</v>
      </c>
      <c r="C72" s="23"/>
    </row>
    <row r="73" spans="1:3">
      <c r="A73" s="28">
        <v>2.9583333333333299</v>
      </c>
      <c r="B73" s="24" t="s">
        <v>45</v>
      </c>
      <c r="C73" s="23" t="s">
        <v>38</v>
      </c>
    </row>
    <row r="74" spans="1:3">
      <c r="A74" s="27">
        <v>3</v>
      </c>
      <c r="B74" s="24" t="s">
        <v>45</v>
      </c>
      <c r="C74" s="23"/>
    </row>
    <row r="75" spans="1:3">
      <c r="A75" s="28">
        <v>3.0416666666666701</v>
      </c>
      <c r="B75" s="24" t="s">
        <v>45</v>
      </c>
      <c r="C75" s="23"/>
    </row>
    <row r="76" spans="1:3" ht="13" customHeight="1">
      <c r="A76" s="27">
        <v>3.0833333333333299</v>
      </c>
      <c r="B76" s="24" t="s">
        <v>45</v>
      </c>
      <c r="C76" s="23"/>
    </row>
    <row r="77" spans="1:3">
      <c r="A77" s="28">
        <v>3.125</v>
      </c>
      <c r="B77" s="24" t="s">
        <v>45</v>
      </c>
      <c r="C77" s="23"/>
    </row>
    <row r="78" spans="1:3">
      <c r="A78" s="27">
        <v>3.1666666666666701</v>
      </c>
      <c r="B78" s="24" t="s">
        <v>45</v>
      </c>
      <c r="C78" s="23"/>
    </row>
    <row r="79" spans="1:3">
      <c r="A79" s="28">
        <v>3.2083333333333299</v>
      </c>
      <c r="B79" s="24" t="s">
        <v>45</v>
      </c>
      <c r="C79" s="23"/>
    </row>
    <row r="80" spans="1:3">
      <c r="A80" s="27">
        <v>3.25</v>
      </c>
      <c r="B80" s="24" t="s">
        <v>45</v>
      </c>
      <c r="C80" s="23"/>
    </row>
    <row r="81" spans="1:3">
      <c r="A81" s="28">
        <v>3.2916666666666701</v>
      </c>
      <c r="B81" s="25" t="s">
        <v>46</v>
      </c>
      <c r="C81" s="23"/>
    </row>
    <row r="82" spans="1:3">
      <c r="A82" s="27">
        <v>3.3333333333333299</v>
      </c>
      <c r="B82" s="25" t="s">
        <v>46</v>
      </c>
      <c r="C82" s="23"/>
    </row>
    <row r="83" spans="1:3">
      <c r="A83" s="28">
        <v>3.375</v>
      </c>
      <c r="B83" s="25" t="s">
        <v>46</v>
      </c>
      <c r="C83" s="23"/>
    </row>
    <row r="84" spans="1:3">
      <c r="A84" s="27">
        <v>3.4166666666666701</v>
      </c>
      <c r="B84" s="25" t="s">
        <v>46</v>
      </c>
      <c r="C84" s="23"/>
    </row>
    <row r="85" spans="1:3">
      <c r="A85" s="28">
        <v>3.4583333333333299</v>
      </c>
      <c r="B85" s="25" t="s">
        <v>46</v>
      </c>
      <c r="C85" s="23"/>
    </row>
    <row r="86" spans="1:3">
      <c r="A86" s="27">
        <v>3.5</v>
      </c>
      <c r="B86" s="25" t="s">
        <v>46</v>
      </c>
      <c r="C86" s="23"/>
    </row>
    <row r="87" spans="1:3">
      <c r="A87" s="28">
        <v>3.5416666666666701</v>
      </c>
      <c r="B87" s="25" t="s">
        <v>46</v>
      </c>
      <c r="C87" s="23"/>
    </row>
    <row r="88" spans="1:3">
      <c r="A88" s="27">
        <v>3.5833333333333299</v>
      </c>
      <c r="B88" s="25" t="s">
        <v>46</v>
      </c>
      <c r="C88" s="23"/>
    </row>
    <row r="89" spans="1:3">
      <c r="A89" s="28">
        <v>3.625</v>
      </c>
      <c r="B89" s="25" t="s">
        <v>46</v>
      </c>
      <c r="C89" s="23"/>
    </row>
    <row r="90" spans="1:3">
      <c r="A90" s="27">
        <v>3.6666666666666701</v>
      </c>
      <c r="B90" s="25" t="s">
        <v>46</v>
      </c>
      <c r="C90" s="23"/>
    </row>
    <row r="91" spans="1:3">
      <c r="A91" s="28">
        <v>3.7083333333333299</v>
      </c>
      <c r="B91" s="25" t="s">
        <v>46</v>
      </c>
      <c r="C91" s="23"/>
    </row>
    <row r="92" spans="1:3">
      <c r="A92" s="27">
        <v>3.75</v>
      </c>
      <c r="B92" s="25" t="s">
        <v>46</v>
      </c>
      <c r="C92" s="23"/>
    </row>
    <row r="93" spans="1:3">
      <c r="A93" s="28">
        <v>3.7916666666666701</v>
      </c>
      <c r="B93" s="24" t="s">
        <v>45</v>
      </c>
      <c r="C93" s="23"/>
    </row>
    <row r="94" spans="1:3">
      <c r="A94" s="27">
        <v>3.8333333333333299</v>
      </c>
      <c r="B94" s="24" t="s">
        <v>45</v>
      </c>
      <c r="C94" s="23"/>
    </row>
    <row r="95" spans="1:3">
      <c r="A95" s="28">
        <v>3.875</v>
      </c>
      <c r="B95" s="24" t="s">
        <v>45</v>
      </c>
      <c r="C95" s="23"/>
    </row>
    <row r="96" spans="1:3">
      <c r="A96" s="27">
        <v>3.9166666666666701</v>
      </c>
      <c r="B96" s="24" t="s">
        <v>45</v>
      </c>
      <c r="C96" s="23"/>
    </row>
    <row r="97" spans="1:3">
      <c r="A97" s="28">
        <v>3.9583333333333299</v>
      </c>
      <c r="B97" s="24" t="s">
        <v>45</v>
      </c>
      <c r="C97" s="23" t="s">
        <v>39</v>
      </c>
    </row>
    <row r="98" spans="1:3">
      <c r="A98" s="27">
        <v>4</v>
      </c>
      <c r="B98" s="24" t="s">
        <v>45</v>
      </c>
      <c r="C98" s="23"/>
    </row>
    <row r="99" spans="1:3">
      <c r="A99" s="28">
        <v>4.0416666666666696</v>
      </c>
      <c r="B99" s="24" t="s">
        <v>45</v>
      </c>
      <c r="C99" s="23"/>
    </row>
    <row r="100" spans="1:3">
      <c r="A100" s="27">
        <v>4.0833333333333304</v>
      </c>
      <c r="B100" s="24" t="s">
        <v>45</v>
      </c>
      <c r="C100" s="23"/>
    </row>
    <row r="101" spans="1:3">
      <c r="A101" s="28">
        <v>4.125</v>
      </c>
      <c r="B101" s="24" t="s">
        <v>45</v>
      </c>
      <c r="C101" s="23"/>
    </row>
    <row r="102" spans="1:3">
      <c r="A102" s="27">
        <v>4.1666666666666696</v>
      </c>
      <c r="B102" s="24" t="s">
        <v>45</v>
      </c>
      <c r="C102" s="23"/>
    </row>
    <row r="103" spans="1:3">
      <c r="A103" s="28">
        <v>4.2083333333333304</v>
      </c>
      <c r="B103" s="24" t="s">
        <v>45</v>
      </c>
      <c r="C103" s="23"/>
    </row>
    <row r="104" spans="1:3">
      <c r="A104" s="27">
        <v>4.25</v>
      </c>
      <c r="B104" s="24" t="s">
        <v>45</v>
      </c>
      <c r="C104" s="23"/>
    </row>
    <row r="105" spans="1:3">
      <c r="A105" s="28">
        <v>4.2916666666666696</v>
      </c>
      <c r="B105" s="25" t="s">
        <v>46</v>
      </c>
      <c r="C105" s="23"/>
    </row>
    <row r="106" spans="1:3">
      <c r="A106" s="27">
        <v>4.3333333333333304</v>
      </c>
      <c r="B106" s="25" t="s">
        <v>46</v>
      </c>
      <c r="C106" s="23"/>
    </row>
    <row r="107" spans="1:3">
      <c r="A107" s="28">
        <v>4.375</v>
      </c>
      <c r="B107" s="25" t="s">
        <v>46</v>
      </c>
      <c r="C107" s="23"/>
    </row>
    <row r="108" spans="1:3">
      <c r="A108" s="27">
        <v>4.4166666666666696</v>
      </c>
      <c r="B108" s="25" t="s">
        <v>46</v>
      </c>
      <c r="C108" s="23"/>
    </row>
    <row r="109" spans="1:3">
      <c r="A109" s="28">
        <v>4.4583333333333304</v>
      </c>
      <c r="B109" s="25" t="s">
        <v>46</v>
      </c>
      <c r="C109" s="23"/>
    </row>
    <row r="110" spans="1:3">
      <c r="A110" s="27">
        <v>4.5</v>
      </c>
      <c r="B110" s="25" t="s">
        <v>46</v>
      </c>
      <c r="C110" s="23"/>
    </row>
    <row r="111" spans="1:3">
      <c r="A111" s="28">
        <v>4.5416666666666696</v>
      </c>
      <c r="B111" s="25" t="s">
        <v>46</v>
      </c>
      <c r="C111" s="23"/>
    </row>
    <row r="112" spans="1:3">
      <c r="A112" s="27">
        <v>4.5833333333333304</v>
      </c>
      <c r="B112" s="25" t="s">
        <v>46</v>
      </c>
      <c r="C112" s="23"/>
    </row>
    <row r="113" spans="1:3">
      <c r="A113" s="28">
        <v>4.625</v>
      </c>
      <c r="B113" s="25" t="s">
        <v>46</v>
      </c>
      <c r="C113" s="23"/>
    </row>
    <row r="114" spans="1:3">
      <c r="A114" s="27">
        <v>4.6666666666666696</v>
      </c>
      <c r="B114" s="25" t="s">
        <v>46</v>
      </c>
      <c r="C114" s="23"/>
    </row>
    <row r="115" spans="1:3">
      <c r="A115" s="28">
        <v>4.7083333333333304</v>
      </c>
      <c r="B115" s="25" t="s">
        <v>46</v>
      </c>
      <c r="C115" s="23"/>
    </row>
    <row r="116" spans="1:3">
      <c r="A116" s="27">
        <v>4.75</v>
      </c>
      <c r="B116" s="25" t="s">
        <v>46</v>
      </c>
      <c r="C116" s="23"/>
    </row>
    <row r="117" spans="1:3">
      <c r="A117" s="28">
        <v>4.7916666666666696</v>
      </c>
      <c r="B117" s="24" t="s">
        <v>45</v>
      </c>
      <c r="C117" s="23"/>
    </row>
    <row r="118" spans="1:3">
      <c r="A118" s="27">
        <v>4.8333333333333304</v>
      </c>
      <c r="B118" s="24" t="s">
        <v>45</v>
      </c>
      <c r="C118" s="23"/>
    </row>
    <row r="119" spans="1:3">
      <c r="A119" s="28">
        <v>4.875</v>
      </c>
      <c r="B119" s="24" t="s">
        <v>45</v>
      </c>
      <c r="C119" s="23"/>
    </row>
    <row r="120" spans="1:3">
      <c r="A120" s="27">
        <v>4.9166666666666696</v>
      </c>
      <c r="B120" s="24" t="s">
        <v>45</v>
      </c>
      <c r="C120" s="23"/>
    </row>
    <row r="121" spans="1:3">
      <c r="A121" s="28">
        <v>4.9583333333333304</v>
      </c>
      <c r="B121" s="24" t="s">
        <v>45</v>
      </c>
      <c r="C121" s="23" t="s">
        <v>40</v>
      </c>
    </row>
    <row r="122" spans="1:3">
      <c r="A122" s="27">
        <v>5</v>
      </c>
      <c r="B122" s="24" t="s">
        <v>45</v>
      </c>
      <c r="C122" s="23"/>
    </row>
    <row r="123" spans="1:3">
      <c r="A123" s="28">
        <v>5.0416666666666696</v>
      </c>
      <c r="B123" s="24" t="s">
        <v>45</v>
      </c>
      <c r="C123" s="23"/>
    </row>
    <row r="124" spans="1:3">
      <c r="A124" s="27">
        <v>5.0833333333333304</v>
      </c>
      <c r="B124" s="24" t="s">
        <v>45</v>
      </c>
      <c r="C124" s="23"/>
    </row>
    <row r="125" spans="1:3">
      <c r="A125" s="28">
        <v>5.125</v>
      </c>
      <c r="B125" s="24" t="s">
        <v>45</v>
      </c>
      <c r="C125" s="23"/>
    </row>
    <row r="126" spans="1:3">
      <c r="A126" s="27">
        <v>5.1666666666666696</v>
      </c>
      <c r="B126" s="24" t="s">
        <v>45</v>
      </c>
      <c r="C126" s="23"/>
    </row>
    <row r="127" spans="1:3">
      <c r="A127" s="28">
        <v>5.2083333333333304</v>
      </c>
      <c r="B127" s="24" t="s">
        <v>45</v>
      </c>
      <c r="C127" s="23"/>
    </row>
    <row r="128" spans="1:3">
      <c r="A128" s="27">
        <v>5.25</v>
      </c>
      <c r="B128" s="24" t="s">
        <v>45</v>
      </c>
      <c r="C128" s="23"/>
    </row>
    <row r="129" spans="1:3">
      <c r="A129" s="28">
        <v>5.2916666666666696</v>
      </c>
      <c r="B129" s="24" t="s">
        <v>45</v>
      </c>
      <c r="C129" s="23"/>
    </row>
    <row r="130" spans="1:3">
      <c r="A130" s="27">
        <v>5.3333333333333304</v>
      </c>
      <c r="B130" s="24" t="s">
        <v>45</v>
      </c>
      <c r="C130" s="23"/>
    </row>
    <row r="131" spans="1:3">
      <c r="A131" s="27">
        <v>5.3750000000000098</v>
      </c>
      <c r="B131" s="24" t="s">
        <v>45</v>
      </c>
      <c r="C131" s="23"/>
    </row>
    <row r="132" spans="1:3">
      <c r="A132" s="28">
        <v>5.4166666666666803</v>
      </c>
      <c r="B132" s="24" t="s">
        <v>45</v>
      </c>
      <c r="C132" s="23"/>
    </row>
    <row r="133" spans="1:3">
      <c r="A133" s="27">
        <v>5.4583333333333499</v>
      </c>
      <c r="B133" s="24" t="s">
        <v>45</v>
      </c>
      <c r="C133" s="23"/>
    </row>
    <row r="134" spans="1:3">
      <c r="A134" s="27">
        <v>5.5000000000000204</v>
      </c>
      <c r="B134" s="24" t="s">
        <v>45</v>
      </c>
      <c r="C134" s="23"/>
    </row>
    <row r="135" spans="1:3">
      <c r="A135" s="28">
        <v>5.5416666666666901</v>
      </c>
      <c r="B135" s="24" t="s">
        <v>45</v>
      </c>
      <c r="C135" s="23"/>
    </row>
    <row r="136" spans="1:3">
      <c r="A136" s="27">
        <v>5.5833333333333597</v>
      </c>
      <c r="B136" s="24" t="s">
        <v>45</v>
      </c>
      <c r="C136" s="23"/>
    </row>
    <row r="137" spans="1:3">
      <c r="A137" s="27">
        <v>5.6250000000000302</v>
      </c>
      <c r="B137" s="24" t="s">
        <v>45</v>
      </c>
      <c r="C137" s="23"/>
    </row>
    <row r="138" spans="1:3">
      <c r="A138" s="28">
        <v>5.6666666666666998</v>
      </c>
      <c r="B138" s="24" t="s">
        <v>45</v>
      </c>
      <c r="C138" s="23"/>
    </row>
    <row r="139" spans="1:3">
      <c r="A139" s="27">
        <v>5.7083333333333703</v>
      </c>
      <c r="B139" s="24" t="s">
        <v>45</v>
      </c>
      <c r="C139" s="23"/>
    </row>
    <row r="140" spans="1:3">
      <c r="A140" s="27">
        <v>5.75000000000004</v>
      </c>
      <c r="B140" s="24" t="s">
        <v>45</v>
      </c>
      <c r="C140" s="23"/>
    </row>
    <row r="141" spans="1:3">
      <c r="A141" s="28">
        <v>5.7916666666667096</v>
      </c>
      <c r="B141" s="24" t="s">
        <v>45</v>
      </c>
      <c r="C141" s="23"/>
    </row>
    <row r="142" spans="1:3">
      <c r="A142" s="27">
        <v>5.8333333333333703</v>
      </c>
      <c r="B142" s="24" t="s">
        <v>45</v>
      </c>
      <c r="C142" s="23"/>
    </row>
    <row r="143" spans="1:3">
      <c r="A143" s="28">
        <v>5.87500000000004</v>
      </c>
      <c r="B143" s="24" t="s">
        <v>45</v>
      </c>
      <c r="C143" s="23"/>
    </row>
    <row r="144" spans="1:3">
      <c r="A144" s="27">
        <v>5.9166666666667096</v>
      </c>
      <c r="B144" s="24" t="s">
        <v>45</v>
      </c>
      <c r="C144" s="23"/>
    </row>
    <row r="145" spans="1:3">
      <c r="A145" s="27">
        <v>5.9583333333333801</v>
      </c>
      <c r="B145" s="24" t="s">
        <v>45</v>
      </c>
      <c r="C145" s="23"/>
    </row>
    <row r="146" spans="1:3">
      <c r="A146" s="28">
        <v>6.0000000000000497</v>
      </c>
      <c r="B146" s="24" t="s">
        <v>45</v>
      </c>
      <c r="C146" s="23" t="s">
        <v>41</v>
      </c>
    </row>
    <row r="147" spans="1:3">
      <c r="A147" s="27">
        <v>6.0416666666667203</v>
      </c>
      <c r="B147" s="24" t="s">
        <v>45</v>
      </c>
      <c r="C147" s="23"/>
    </row>
    <row r="148" spans="1:3">
      <c r="A148" s="27">
        <v>6.0833333333333899</v>
      </c>
      <c r="B148" s="24" t="s">
        <v>45</v>
      </c>
      <c r="C148" s="23"/>
    </row>
    <row r="149" spans="1:3">
      <c r="A149" s="28">
        <v>6.1250000000000604</v>
      </c>
      <c r="B149" s="24" t="s">
        <v>45</v>
      </c>
      <c r="C149" s="23"/>
    </row>
    <row r="150" spans="1:3">
      <c r="A150" s="27">
        <v>6.16666666666673</v>
      </c>
      <c r="B150" s="24" t="s">
        <v>45</v>
      </c>
      <c r="C150" s="23"/>
    </row>
    <row r="151" spans="1:3">
      <c r="A151" s="27">
        <v>6.2083333333333997</v>
      </c>
      <c r="B151" s="24" t="s">
        <v>45</v>
      </c>
      <c r="C151" s="23"/>
    </row>
    <row r="152" spans="1:3">
      <c r="A152" s="28">
        <v>6.2500000000000702</v>
      </c>
      <c r="B152" s="24" t="s">
        <v>45</v>
      </c>
      <c r="C152" s="23"/>
    </row>
    <row r="153" spans="1:3">
      <c r="A153" s="27">
        <v>6.2916666666667398</v>
      </c>
      <c r="B153" s="24" t="s">
        <v>45</v>
      </c>
      <c r="C153" s="23"/>
    </row>
    <row r="154" spans="1:3">
      <c r="A154" s="27">
        <v>6.3333333333334103</v>
      </c>
      <c r="B154" s="24" t="s">
        <v>45</v>
      </c>
      <c r="C154" s="23"/>
    </row>
    <row r="155" spans="1:3">
      <c r="A155" s="27">
        <v>6.3750000000000799</v>
      </c>
      <c r="B155" s="24" t="s">
        <v>45</v>
      </c>
      <c r="C155" s="23"/>
    </row>
    <row r="156" spans="1:3">
      <c r="A156" s="28">
        <v>6.4166666666667496</v>
      </c>
      <c r="B156" s="24" t="s">
        <v>45</v>
      </c>
      <c r="C156" s="23"/>
    </row>
    <row r="157" spans="1:3">
      <c r="A157" s="27">
        <v>6.4583333333334201</v>
      </c>
      <c r="B157" s="24" t="s">
        <v>45</v>
      </c>
      <c r="C157" s="23"/>
    </row>
    <row r="158" spans="1:3">
      <c r="A158" s="27">
        <v>6.5000000000000897</v>
      </c>
      <c r="B158" s="24" t="s">
        <v>45</v>
      </c>
      <c r="C158" s="23"/>
    </row>
    <row r="159" spans="1:3">
      <c r="A159" s="28">
        <v>6.5416666666667602</v>
      </c>
      <c r="B159" s="24" t="s">
        <v>45</v>
      </c>
      <c r="C159" s="23"/>
    </row>
    <row r="160" spans="1:3">
      <c r="A160" s="27">
        <v>6.5833333333334298</v>
      </c>
      <c r="B160" s="24" t="s">
        <v>45</v>
      </c>
      <c r="C160" s="23"/>
    </row>
    <row r="161" spans="1:3">
      <c r="A161" s="27">
        <v>6.6250000000001004</v>
      </c>
      <c r="B161" s="24" t="s">
        <v>45</v>
      </c>
      <c r="C161" s="23"/>
    </row>
    <row r="162" spans="1:3">
      <c r="A162" s="28">
        <v>6.66666666666677</v>
      </c>
      <c r="B162" s="24" t="s">
        <v>45</v>
      </c>
      <c r="C162" s="23"/>
    </row>
    <row r="163" spans="1:3">
      <c r="A163" s="27">
        <v>6.7083333333334396</v>
      </c>
      <c r="B163" s="24" t="s">
        <v>45</v>
      </c>
      <c r="C163" s="23"/>
    </row>
    <row r="164" spans="1:3">
      <c r="A164" s="27">
        <v>6.7500000000001101</v>
      </c>
      <c r="B164" s="24" t="s">
        <v>45</v>
      </c>
      <c r="C164" s="23"/>
    </row>
    <row r="165" spans="1:3">
      <c r="A165" s="28">
        <v>6.7916666666667798</v>
      </c>
      <c r="B165" s="24" t="s">
        <v>45</v>
      </c>
      <c r="C165" s="23"/>
    </row>
    <row r="166" spans="1:3">
      <c r="A166" s="27">
        <v>6.8333333333334503</v>
      </c>
      <c r="B166" s="24" t="s">
        <v>45</v>
      </c>
      <c r="C166" s="23"/>
    </row>
    <row r="167" spans="1:3">
      <c r="A167" s="27">
        <v>6.8750000000001199</v>
      </c>
      <c r="B167" s="24" t="s">
        <v>45</v>
      </c>
      <c r="C167" s="23"/>
    </row>
    <row r="168" spans="1:3">
      <c r="A168" s="28">
        <v>6.9166666666667904</v>
      </c>
      <c r="B168" s="24" t="s">
        <v>45</v>
      </c>
      <c r="C168" s="23"/>
    </row>
    <row r="169" spans="1:3">
      <c r="A169" s="27">
        <v>6.9583333333334503</v>
      </c>
      <c r="B169" s="24" t="s">
        <v>45</v>
      </c>
      <c r="C169" s="23" t="s">
        <v>42</v>
      </c>
    </row>
    <row r="170" spans="1:3">
      <c r="A170" s="26"/>
    </row>
  </sheetData>
  <mergeCells count="2">
    <mergeCell ref="J5:K5"/>
    <mergeCell ref="J6:K6"/>
  </mergeCells>
  <dataValidations count="1">
    <dataValidation allowBlank="1" showInputMessage="1" showErrorMessage="1" promptTitle="Haushalt 1" sqref="B2:B169" xr:uid="{0636F017-C01B-234B-8515-9637C00870B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FF8-4528-3644-B364-AE1A963FEB97}">
  <dimension ref="D9:I39"/>
  <sheetViews>
    <sheetView workbookViewId="0">
      <selection activeCell="D7" sqref="D7"/>
    </sheetView>
  </sheetViews>
  <sheetFormatPr baseColWidth="10" defaultRowHeight="13"/>
  <cols>
    <col min="4" max="4" width="55.59765625" customWidth="1"/>
    <col min="9" max="9" width="52.796875" customWidth="1"/>
  </cols>
  <sheetData>
    <row r="9" spans="4:9">
      <c r="D9" s="41"/>
    </row>
    <row r="10" spans="4:9">
      <c r="D10" s="42"/>
    </row>
    <row r="11" spans="4:9" ht="21">
      <c r="D11" s="42"/>
      <c r="I11" s="43"/>
    </row>
    <row r="12" spans="4:9" ht="14">
      <c r="D12" s="42"/>
      <c r="I12" s="44"/>
    </row>
    <row r="13" spans="4:9" ht="21">
      <c r="D13" s="42"/>
      <c r="I13" s="43" t="s">
        <v>69</v>
      </c>
    </row>
    <row r="14" spans="4:9" ht="14">
      <c r="D14" s="42"/>
      <c r="I14" s="44"/>
    </row>
    <row r="15" spans="4:9" ht="14">
      <c r="D15" s="42"/>
      <c r="I15" s="45"/>
    </row>
    <row r="16" spans="4:9" ht="14">
      <c r="D16" s="42"/>
      <c r="I16" s="45"/>
    </row>
    <row r="17" spans="4:9" ht="14">
      <c r="D17" s="41"/>
      <c r="I17" s="45"/>
    </row>
    <row r="18" spans="4:9" ht="14">
      <c r="D18" s="42"/>
      <c r="I18" s="45"/>
    </row>
    <row r="19" spans="4:9">
      <c r="D19" s="41"/>
      <c r="I19" s="41"/>
    </row>
    <row r="20" spans="4:9">
      <c r="D20" s="42"/>
      <c r="I20" s="42"/>
    </row>
    <row r="21" spans="4:9">
      <c r="D21" s="42"/>
      <c r="I21" s="42"/>
    </row>
    <row r="22" spans="4:9">
      <c r="D22" s="42"/>
      <c r="I22" s="42"/>
    </row>
    <row r="23" spans="4:9">
      <c r="D23" s="42"/>
      <c r="I23" s="42"/>
    </row>
    <row r="24" spans="4:9">
      <c r="D24" s="42"/>
      <c r="I24" s="42"/>
    </row>
    <row r="25" spans="4:9">
      <c r="D25" s="42"/>
      <c r="I25" s="42"/>
    </row>
    <row r="26" spans="4:9">
      <c r="D26" s="42"/>
      <c r="I26" s="42"/>
    </row>
    <row r="27" spans="4:9">
      <c r="D27" s="42"/>
      <c r="I27" s="41"/>
    </row>
    <row r="28" spans="4:9">
      <c r="D28" s="42"/>
      <c r="I28" s="42"/>
    </row>
    <row r="29" spans="4:9">
      <c r="I29" s="41"/>
    </row>
    <row r="30" spans="4:9">
      <c r="I30" s="42"/>
    </row>
    <row r="31" spans="4:9">
      <c r="I31" s="42"/>
    </row>
    <row r="32" spans="4:9">
      <c r="I32" s="42"/>
    </row>
    <row r="33" spans="9:9">
      <c r="I33" s="42"/>
    </row>
    <row r="34" spans="9:9">
      <c r="I34" s="42"/>
    </row>
    <row r="35" spans="9:9">
      <c r="I35" s="42"/>
    </row>
    <row r="36" spans="9:9">
      <c r="I36" s="42"/>
    </row>
    <row r="37" spans="9:9">
      <c r="I37" s="42"/>
    </row>
    <row r="38" spans="9:9">
      <c r="I38" s="42"/>
    </row>
    <row r="39" spans="9:9">
      <c r="I39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Thal-Pro</vt:lpstr>
      <vt:lpstr>Thal-Pro 2</vt:lpstr>
      <vt:lpstr>Rheineck Gewerbetarif</vt:lpstr>
      <vt:lpstr>Rheineck Haushalt &amp; Kleingewerb</vt:lpstr>
      <vt:lpstr>Rheineck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20250807_Stromtarife_GrundversorgungTBThal 2026</dc:title>
  <dc:creator>python-docx</dc:creator>
  <cp:lastModifiedBy>Patrice Haldemann (VOLAG System AG)</cp:lastModifiedBy>
  <dcterms:created xsi:type="dcterms:W3CDTF">2025-10-19T06:22:48Z</dcterms:created>
  <dcterms:modified xsi:type="dcterms:W3CDTF">2026-01-08T12:37:37Z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2025-10-19T00:00:00Z</vt:filetime>
  </property>
  <property fmtid="{D5CDD505-2E9C-101B-9397-08002B2CF9AE}" pid="3" name="Creator">
    <vt:lpwstr>Power PDF Create</vt:lpwstr>
  </property>
  <property fmtid="{D5CDD505-2E9C-101B-9397-08002B2CF9AE}" pid="4" name="LastSaved">
    <vt:filetime>2025-10-19T00:00:00Z</vt:filetime>
  </property>
  <property fmtid="{D5CDD505-2E9C-101B-9397-08002B2CF9AE}" pid="5" name="Producer">
    <vt:lpwstr>macOS Version 26.0.1 (assemblage 25A362) Quartz PDFContext</vt:lpwstr>
  </property>
</Properties>
</file>